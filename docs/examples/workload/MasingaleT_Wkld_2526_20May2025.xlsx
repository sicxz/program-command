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reen/Dropbox/ Dept of DESN/Workload/AY2526/Workload 2526/"/>
    </mc:Choice>
  </mc:AlternateContent>
  <xr:revisionPtr revIDLastSave="0" documentId="13_ncr:1_{7A8E37FC-5438-ED4B-ACA9-1B2CC2AEB44E}" xr6:coauthVersionLast="47" xr6:coauthVersionMax="47" xr10:uidLastSave="{00000000-0000-0000-0000-000000000000}"/>
  <bookViews>
    <workbookView xWindow="10540" yWindow="500" windowWidth="32480" windowHeight="16480" xr2:uid="{064E9B4F-11B9-1543-8319-848CC36765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G13" i="1"/>
  <c r="D13" i="1"/>
  <c r="K13" i="1" s="1"/>
  <c r="P10" i="1"/>
  <c r="Q8" i="1"/>
  <c r="J8" i="1"/>
  <c r="G8" i="1"/>
  <c r="D8" i="1"/>
  <c r="K8" i="1" s="1"/>
  <c r="O2" i="1" s="1"/>
  <c r="Q6" i="1"/>
  <c r="Q4" i="1"/>
  <c r="O10" i="1" l="1"/>
  <c r="O14" i="1" s="1"/>
  <c r="Q14" i="1" s="1"/>
  <c r="Q2" i="1"/>
  <c r="Q10" i="1" s="1"/>
</calcChain>
</file>

<file path=xl/sharedStrings.xml><?xml version="1.0" encoding="utf-8"?>
<sst xmlns="http://schemas.openxmlformats.org/spreadsheetml/2006/main" count="34" uniqueCount="28">
  <si>
    <t>Tenured/Tenure-track</t>
  </si>
  <si>
    <t>Fall Quarter, 2025</t>
  </si>
  <si>
    <t>Fall quarter schedule</t>
  </si>
  <si>
    <t>CR</t>
  </si>
  <si>
    <t>Winter Quarter, 2026</t>
  </si>
  <si>
    <t>Winter quarter schedule</t>
  </si>
  <si>
    <t>Spring Quarter, 2026</t>
  </si>
  <si>
    <t>Spring quarter schedule</t>
  </si>
  <si>
    <t>Total</t>
  </si>
  <si>
    <t>Workload Summary</t>
  </si>
  <si>
    <t>Assigned CR</t>
  </si>
  <si>
    <t>Expected CR</t>
  </si>
  <si>
    <t>% Assigned</t>
  </si>
  <si>
    <t>Masingale Travis</t>
  </si>
  <si>
    <t>DESN 368</t>
  </si>
  <si>
    <t>DESN 374</t>
  </si>
  <si>
    <t>Teaching</t>
  </si>
  <si>
    <t>DESN 378</t>
  </si>
  <si>
    <t>DESN 468</t>
  </si>
  <si>
    <t>DESN X95/99</t>
  </si>
  <si>
    <t>Scholarship, Research, or Creative Activity</t>
  </si>
  <si>
    <t>University, Professional, and Public Service</t>
  </si>
  <si>
    <t>Total teaching workload</t>
  </si>
  <si>
    <t>Administrative Release for Approved Assigned Activities</t>
  </si>
  <si>
    <t>Workload (including PTOL)</t>
  </si>
  <si>
    <t>Total Non-Teaching PTOL</t>
  </si>
  <si>
    <t>ptol credits paid</t>
  </si>
  <si>
    <t>Net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</si>
</sst>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color theme="4"/>
      <name val="Arial"/>
      <family val="2"/>
    </font>
    <font>
      <sz val="11"/>
      <color rgb="FFFF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1" fillId="3" borderId="3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164" fontId="3" fillId="0" borderId="6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/>
    <xf numFmtId="0" fontId="3" fillId="0" borderId="0" xfId="0" applyFont="1"/>
    <xf numFmtId="0" fontId="3" fillId="4" borderId="3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8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3" fillId="4" borderId="5" xfId="0" applyFont="1" applyFill="1" applyBorder="1" applyAlignment="1">
      <alignment horizontal="center"/>
    </xf>
    <xf numFmtId="0" fontId="0" fillId="4" borderId="0" xfId="0" applyFill="1"/>
    <xf numFmtId="0" fontId="1" fillId="0" borderId="4" xfId="0" applyFont="1" applyBorder="1" applyAlignment="1">
      <alignment horizontal="center"/>
    </xf>
    <xf numFmtId="0" fontId="3" fillId="0" borderId="8" xfId="0" applyFont="1" applyBorder="1"/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center"/>
    </xf>
    <xf numFmtId="0" fontId="6" fillId="6" borderId="3" xfId="0" applyFont="1" applyFill="1" applyBorder="1"/>
    <xf numFmtId="0" fontId="3" fillId="6" borderId="3" xfId="0" applyFont="1" applyFill="1" applyBorder="1"/>
    <xf numFmtId="0" fontId="3" fillId="6" borderId="3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164" fontId="3" fillId="0" borderId="9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8" fillId="0" borderId="3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0" fontId="3" fillId="0" borderId="8" xfId="0" applyNumberFormat="1" applyFont="1" applyBorder="1"/>
    <xf numFmtId="10" fontId="3" fillId="0" borderId="10" xfId="0" applyNumberFormat="1" applyFont="1" applyBorder="1"/>
    <xf numFmtId="0" fontId="8" fillId="0" borderId="4" xfId="0" applyFont="1" applyBorder="1"/>
    <xf numFmtId="164" fontId="8" fillId="0" borderId="8" xfId="0" applyNumberFormat="1" applyFont="1" applyBorder="1" applyAlignment="1">
      <alignment horizontal="center"/>
    </xf>
    <xf numFmtId="164" fontId="8" fillId="0" borderId="8" xfId="0" applyNumberFormat="1" applyFont="1" applyBorder="1"/>
    <xf numFmtId="10" fontId="8" fillId="0" borderId="10" xfId="0" applyNumberFormat="1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10" fontId="8" fillId="0" borderId="8" xfId="0" applyNumberFormat="1" applyFont="1" applyBorder="1" applyAlignment="1">
      <alignment horizontal="right"/>
    </xf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A42E-B5D1-CC42-BFCE-0B0BC361D043}">
  <dimension ref="A1:Q15"/>
  <sheetViews>
    <sheetView tabSelected="1" workbookViewId="0">
      <selection activeCell="A16" sqref="A16"/>
    </sheetView>
  </sheetViews>
  <sheetFormatPr baseColWidth="10" defaultRowHeight="16" x14ac:dyDescent="0.2"/>
  <cols>
    <col min="1" max="1" width="22.83203125" bestFit="1" customWidth="1"/>
    <col min="2" max="2" width="16.6640625" bestFit="1" customWidth="1"/>
    <col min="3" max="3" width="19.83203125" bestFit="1" customWidth="1"/>
    <col min="5" max="5" width="19.1640625" bestFit="1" customWidth="1"/>
    <col min="6" max="6" width="22.5" bestFit="1" customWidth="1"/>
    <col min="8" max="8" width="19.33203125" bestFit="1" customWidth="1"/>
    <col min="9" max="9" width="22.6640625" bestFit="1" customWidth="1"/>
    <col min="14" max="14" width="22.33203125" customWidth="1"/>
    <col min="15" max="15" width="12.6640625" bestFit="1" customWidth="1"/>
    <col min="16" max="16" width="12.5" bestFit="1" customWidth="1"/>
    <col min="17" max="17" width="11.6640625" bestFit="1" customWidth="1"/>
  </cols>
  <sheetData>
    <row r="1" spans="1:1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3</v>
      </c>
      <c r="H1" s="4" t="s">
        <v>6</v>
      </c>
      <c r="I1" s="4" t="s">
        <v>7</v>
      </c>
      <c r="J1" s="4" t="s">
        <v>3</v>
      </c>
      <c r="K1" s="5" t="s">
        <v>8</v>
      </c>
      <c r="L1" s="6" t="s">
        <v>9</v>
      </c>
      <c r="M1" s="7"/>
      <c r="N1" s="7"/>
      <c r="O1" s="8" t="s">
        <v>10</v>
      </c>
      <c r="P1" s="8" t="s">
        <v>11</v>
      </c>
      <c r="Q1" s="4" t="s">
        <v>12</v>
      </c>
    </row>
    <row r="2" spans="1:17" x14ac:dyDescent="0.2">
      <c r="A2" s="9" t="s">
        <v>13</v>
      </c>
      <c r="B2" s="10" t="s">
        <v>14</v>
      </c>
      <c r="C2" s="11"/>
      <c r="D2" s="12">
        <v>5</v>
      </c>
      <c r="E2" s="10" t="s">
        <v>14</v>
      </c>
      <c r="F2" s="10"/>
      <c r="G2" s="13">
        <v>5</v>
      </c>
      <c r="H2" s="14" t="s">
        <v>15</v>
      </c>
      <c r="I2" s="14"/>
      <c r="J2" s="15">
        <v>5</v>
      </c>
      <c r="K2" s="10"/>
      <c r="L2" s="16" t="s">
        <v>16</v>
      </c>
      <c r="M2" s="17"/>
      <c r="N2" s="18"/>
      <c r="O2" s="19">
        <f>K8</f>
        <v>36</v>
      </c>
      <c r="P2" s="20">
        <v>36</v>
      </c>
      <c r="Q2" s="21">
        <f>O2/45</f>
        <v>0.8</v>
      </c>
    </row>
    <row r="3" spans="1:17" x14ac:dyDescent="0.2">
      <c r="A3" s="22"/>
      <c r="B3" s="10" t="s">
        <v>15</v>
      </c>
      <c r="C3" s="11"/>
      <c r="D3" s="12">
        <v>5</v>
      </c>
      <c r="E3" s="10" t="s">
        <v>17</v>
      </c>
      <c r="F3" s="10"/>
      <c r="G3" s="13">
        <v>5</v>
      </c>
      <c r="H3" s="14" t="s">
        <v>18</v>
      </c>
      <c r="I3" s="23"/>
      <c r="J3" s="15">
        <v>5</v>
      </c>
      <c r="K3" s="13"/>
      <c r="L3" s="24"/>
      <c r="M3" s="7"/>
      <c r="N3" s="25"/>
      <c r="O3" s="26"/>
      <c r="P3" s="27"/>
      <c r="Q3" s="21"/>
    </row>
    <row r="4" spans="1:17" x14ac:dyDescent="0.2">
      <c r="A4" s="28"/>
      <c r="B4" s="14" t="s">
        <v>19</v>
      </c>
      <c r="C4" s="23"/>
      <c r="D4" s="29">
        <v>2</v>
      </c>
      <c r="E4" s="14" t="s">
        <v>19</v>
      </c>
      <c r="F4" s="23"/>
      <c r="G4" s="15">
        <v>2</v>
      </c>
      <c r="H4" s="30" t="s">
        <v>19</v>
      </c>
      <c r="I4" s="23"/>
      <c r="J4" s="15">
        <v>2</v>
      </c>
      <c r="K4" s="13"/>
      <c r="L4" s="31" t="s">
        <v>20</v>
      </c>
      <c r="M4" s="7"/>
      <c r="N4" s="25"/>
      <c r="O4" s="26">
        <v>4.5</v>
      </c>
      <c r="P4" s="27">
        <v>4.5</v>
      </c>
      <c r="Q4" s="21">
        <f>O4/45</f>
        <v>0.1</v>
      </c>
    </row>
    <row r="5" spans="1:17" x14ac:dyDescent="0.2">
      <c r="A5" s="28"/>
      <c r="B5" s="32"/>
      <c r="C5" s="11"/>
      <c r="D5" s="33"/>
      <c r="E5" s="10"/>
      <c r="F5" s="11"/>
      <c r="G5" s="34"/>
      <c r="H5" s="10"/>
      <c r="I5" s="10"/>
      <c r="J5" s="34"/>
      <c r="K5" s="13"/>
      <c r="L5" s="35"/>
      <c r="M5" s="7"/>
      <c r="N5" s="25"/>
      <c r="O5" s="26"/>
      <c r="P5" s="27"/>
      <c r="Q5" s="21"/>
    </row>
    <row r="6" spans="1:17" x14ac:dyDescent="0.2">
      <c r="A6" s="28"/>
      <c r="B6" s="10"/>
      <c r="C6" s="11"/>
      <c r="D6" s="12"/>
      <c r="E6" s="10"/>
      <c r="F6" s="10"/>
      <c r="G6" s="13"/>
      <c r="H6" s="36"/>
      <c r="I6" s="36"/>
      <c r="J6" s="37"/>
      <c r="K6" s="34"/>
      <c r="L6" s="31" t="s">
        <v>21</v>
      </c>
      <c r="M6" s="7"/>
      <c r="N6" s="25"/>
      <c r="O6" s="26">
        <v>4.5</v>
      </c>
      <c r="P6" s="27">
        <v>4.5</v>
      </c>
      <c r="Q6" s="21">
        <f>O6/45</f>
        <v>0.1</v>
      </c>
    </row>
    <row r="7" spans="1:17" x14ac:dyDescent="0.2">
      <c r="A7" s="28"/>
      <c r="B7" s="10"/>
      <c r="C7" s="11"/>
      <c r="D7" s="12"/>
      <c r="E7" s="10"/>
      <c r="F7" s="10"/>
      <c r="G7" s="13"/>
      <c r="H7" s="10"/>
      <c r="I7" s="10"/>
      <c r="J7" s="13"/>
      <c r="K7" s="13"/>
      <c r="L7" s="24"/>
      <c r="M7" s="7"/>
      <c r="N7" s="25"/>
      <c r="O7" s="26"/>
      <c r="P7" s="27"/>
      <c r="Q7" s="21"/>
    </row>
    <row r="8" spans="1:17" x14ac:dyDescent="0.2">
      <c r="A8" s="38" t="s">
        <v>22</v>
      </c>
      <c r="B8" s="39"/>
      <c r="C8" s="40"/>
      <c r="D8" s="41">
        <f>SUM(D2:D7)</f>
        <v>12</v>
      </c>
      <c r="E8" s="41"/>
      <c r="F8" s="41"/>
      <c r="G8" s="41">
        <f>SUM(G2:G7)</f>
        <v>12</v>
      </c>
      <c r="H8" s="41"/>
      <c r="I8" s="41"/>
      <c r="J8" s="41">
        <f>SUM(J2:J7)</f>
        <v>12</v>
      </c>
      <c r="K8" s="42">
        <f>SUM(D8:J8)</f>
        <v>36</v>
      </c>
      <c r="L8" s="43" t="s">
        <v>23</v>
      </c>
      <c r="M8" s="44"/>
      <c r="N8" s="45"/>
      <c r="O8" s="46">
        <v>0</v>
      </c>
      <c r="P8" s="47">
        <v>0</v>
      </c>
      <c r="Q8" s="21">
        <f>O8/45</f>
        <v>0</v>
      </c>
    </row>
    <row r="9" spans="1:17" x14ac:dyDescent="0.2">
      <c r="A9" s="48"/>
      <c r="B9" s="49"/>
      <c r="C9" s="50"/>
      <c r="D9" s="51"/>
      <c r="E9" s="49"/>
      <c r="F9" s="50"/>
      <c r="G9" s="51"/>
      <c r="H9" s="49"/>
      <c r="I9" s="49"/>
      <c r="J9" s="52"/>
      <c r="K9" s="51"/>
      <c r="L9" s="35"/>
      <c r="M9" s="7"/>
      <c r="N9" s="25"/>
      <c r="O9" s="53"/>
      <c r="P9" s="53"/>
      <c r="Q9" s="54"/>
    </row>
    <row r="10" spans="1:17" x14ac:dyDescent="0.2">
      <c r="A10" s="49"/>
      <c r="B10" s="49"/>
      <c r="C10" s="50"/>
      <c r="D10" s="52"/>
      <c r="E10" s="52"/>
      <c r="F10" s="52"/>
      <c r="G10" s="52"/>
      <c r="H10" s="52"/>
      <c r="I10" s="52"/>
      <c r="J10" s="52"/>
      <c r="K10" s="52"/>
      <c r="L10" s="31" t="s">
        <v>24</v>
      </c>
      <c r="M10" s="7"/>
      <c r="N10" s="25"/>
      <c r="O10" s="53">
        <f>O2+O4+O6+O8+K13</f>
        <v>45</v>
      </c>
      <c r="P10" s="53">
        <f t="shared" ref="P10:Q10" si="0">P2+P4+P6+P8</f>
        <v>45</v>
      </c>
      <c r="Q10" s="55">
        <f t="shared" si="0"/>
        <v>1</v>
      </c>
    </row>
    <row r="11" spans="1:17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51"/>
      <c r="L11" s="56"/>
      <c r="M11" s="7"/>
      <c r="N11" s="25"/>
      <c r="O11" s="57"/>
      <c r="P11" s="58"/>
      <c r="Q11" s="59"/>
    </row>
    <row r="12" spans="1:17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51"/>
      <c r="L12" s="56"/>
      <c r="M12" s="7"/>
      <c r="N12" s="25"/>
      <c r="O12" s="57"/>
      <c r="P12" s="58"/>
      <c r="Q12" s="59"/>
    </row>
    <row r="13" spans="1:17" x14ac:dyDescent="0.2">
      <c r="A13" s="38" t="s">
        <v>25</v>
      </c>
      <c r="B13" s="38"/>
      <c r="C13" s="38"/>
      <c r="D13" s="41">
        <f>SUM(D9:D12)</f>
        <v>0</v>
      </c>
      <c r="E13" s="41"/>
      <c r="F13" s="41"/>
      <c r="G13" s="41">
        <f>SUM(G9:G12)</f>
        <v>0</v>
      </c>
      <c r="H13" s="41"/>
      <c r="I13" s="41"/>
      <c r="J13" s="41">
        <f>SUM(J9:J12)</f>
        <v>0</v>
      </c>
      <c r="K13" s="42">
        <f>SUM(D13:J13)</f>
        <v>0</v>
      </c>
      <c r="L13" s="56"/>
      <c r="M13" s="7"/>
      <c r="N13" s="25"/>
      <c r="O13" s="57"/>
      <c r="P13" s="58"/>
      <c r="Q13" s="59"/>
    </row>
    <row r="14" spans="1:17" x14ac:dyDescent="0.2">
      <c r="A14" s="48" t="s">
        <v>26</v>
      </c>
      <c r="B14" s="48"/>
      <c r="C14" s="48"/>
      <c r="D14" s="48"/>
      <c r="E14" s="48"/>
      <c r="F14" s="48"/>
      <c r="G14" s="48"/>
      <c r="H14" s="48"/>
      <c r="I14" s="48"/>
      <c r="J14" s="48"/>
      <c r="K14" s="60"/>
      <c r="L14" s="31" t="s">
        <v>27</v>
      </c>
      <c r="M14" s="7"/>
      <c r="N14" s="25"/>
      <c r="O14" s="57">
        <f>O10-K14</f>
        <v>45</v>
      </c>
      <c r="P14" s="58"/>
      <c r="Q14" s="61">
        <f>O14/P10</f>
        <v>1</v>
      </c>
    </row>
    <row r="15" spans="1:17" x14ac:dyDescent="0.2">
      <c r="A15" s="28"/>
      <c r="B15" s="10"/>
      <c r="C15" s="11"/>
      <c r="D15" s="33"/>
      <c r="E15" s="10"/>
      <c r="F15" s="11"/>
      <c r="G15" s="34"/>
      <c r="H15" s="62"/>
      <c r="I15" s="63"/>
      <c r="J15" s="64"/>
      <c r="K15" s="34"/>
      <c r="L15" s="31"/>
      <c r="M15" s="7"/>
      <c r="N15" s="25"/>
      <c r="O15" s="12"/>
      <c r="P15" s="12"/>
      <c r="Q15" s="21"/>
    </row>
  </sheetData>
  <mergeCells count="15">
    <mergeCell ref="L13:N13"/>
    <mergeCell ref="L14:N14"/>
    <mergeCell ref="L15:N15"/>
    <mergeCell ref="L7:N7"/>
    <mergeCell ref="L8:N8"/>
    <mergeCell ref="L9:N9"/>
    <mergeCell ref="L10:N10"/>
    <mergeCell ref="L11:N11"/>
    <mergeCell ref="L12:N12"/>
    <mergeCell ref="L1:N1"/>
    <mergeCell ref="L2:N2"/>
    <mergeCell ref="L3:N3"/>
    <mergeCell ref="L4:N4"/>
    <mergeCell ref="L5:N5"/>
    <mergeCell ref="L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Breen, Melinda</dc:creator>
  <cp:lastModifiedBy>Breen, Melinda</cp:lastModifiedBy>
  <dcterms:created xsi:type="dcterms:W3CDTF">2025-09-22T21:56:48Z</dcterms:created>
  <dcterms:modified xsi:type="dcterms:W3CDTF">2025-09-22T21:59:29Z</dcterms:modified>
</cp:coreProperties>
</file>