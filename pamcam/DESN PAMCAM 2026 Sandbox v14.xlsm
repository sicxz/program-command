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steiner\Downloads\Misc\"/>
    </mc:Choice>
  </mc:AlternateContent>
  <xr:revisionPtr revIDLastSave="0" documentId="8_{14D028B2-DCB5-4A38-9E15-4FF47B406099}" xr6:coauthVersionLast="47" xr6:coauthVersionMax="47" xr10:uidLastSave="{00000000-0000-0000-0000-000000000000}"/>
  <bookViews>
    <workbookView xWindow="-120" yWindow="-120" windowWidth="29040" windowHeight="15720" xr2:uid="{75CF1525-FB8F-42DC-BD7B-67701E894C82}"/>
  </bookViews>
  <sheets>
    <sheet name="Sandbox" sheetId="61" r:id="rId1"/>
    <sheet name="Menu Version" sheetId="59" r:id="rId2"/>
    <sheet name="Stuff" sheetId="60" r:id="rId3"/>
    <sheet name="Graphs" sheetId="2" state="veryHidden" r:id="rId4"/>
  </sheets>
  <definedNames>
    <definedName name="_xleta.AVERAGE" hidden="1" xlm="1">#NAME?</definedName>
    <definedName name="_xleta.IF" hidden="1" xlm="1">#NAME?</definedName>
    <definedName name="_xleta.LARGE" hidden="1" xlm="1">#NAME?</definedName>
    <definedName name="_xleta.ROUNDDOWN" hidden="1" xlm="1">#NAME?</definedName>
    <definedName name="_xleta.SMALL" hidden="1" xlm="1">#NAME?</definedName>
    <definedName name="_xleta.YEA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8" i="61" l="1"/>
  <c r="I8" i="61"/>
  <c r="J8" i="61" s="1"/>
  <c r="E10" i="61"/>
  <c r="H149" i="59"/>
  <c r="H147" i="59"/>
  <c r="H140" i="59"/>
  <c r="H136" i="59"/>
  <c r="H134" i="59"/>
  <c r="H133" i="59"/>
  <c r="H128" i="59"/>
  <c r="H127" i="59"/>
  <c r="H126" i="59"/>
  <c r="H122" i="59"/>
  <c r="H150" i="59"/>
  <c r="H148" i="59"/>
  <c r="H146" i="59"/>
  <c r="H145" i="59"/>
  <c r="H144" i="59"/>
  <c r="H143" i="59"/>
  <c r="H142" i="59"/>
  <c r="H141" i="59"/>
  <c r="H139" i="59"/>
  <c r="H138" i="59"/>
  <c r="H137" i="59"/>
  <c r="H135" i="59"/>
  <c r="H132" i="59"/>
  <c r="H131" i="59"/>
  <c r="H130" i="59"/>
  <c r="H129" i="59"/>
  <c r="H125" i="59"/>
  <c r="H124" i="59"/>
  <c r="H123" i="59"/>
  <c r="H121" i="59"/>
  <c r="H120" i="59"/>
  <c r="L121" i="59"/>
  <c r="L122" i="59"/>
  <c r="L123" i="59"/>
  <c r="L124" i="59"/>
  <c r="L125" i="59"/>
  <c r="L126" i="59"/>
  <c r="L127" i="59"/>
  <c r="L128" i="59"/>
  <c r="L129" i="59"/>
  <c r="L130" i="59"/>
  <c r="L131" i="59"/>
  <c r="L132" i="59"/>
  <c r="L133" i="59"/>
  <c r="L134" i="59"/>
  <c r="L135" i="59"/>
  <c r="L136" i="59"/>
  <c r="L137" i="59"/>
  <c r="L138" i="59"/>
  <c r="L139" i="59"/>
  <c r="L140" i="59"/>
  <c r="L141" i="59"/>
  <c r="L142" i="59"/>
  <c r="L143" i="59"/>
  <c r="L144" i="59"/>
  <c r="L145" i="59"/>
  <c r="L146" i="59"/>
  <c r="L147" i="59"/>
  <c r="L148" i="59"/>
  <c r="L149" i="59"/>
  <c r="L150" i="59"/>
  <c r="L120" i="59"/>
  <c r="K121" i="59"/>
  <c r="J121" i="59" s="1"/>
  <c r="K122" i="59"/>
  <c r="J122" i="59" s="1"/>
  <c r="K123" i="59"/>
  <c r="J123" i="59" s="1"/>
  <c r="K124" i="59"/>
  <c r="J124" i="59" s="1"/>
  <c r="K125" i="59"/>
  <c r="J125" i="59" s="1"/>
  <c r="K126" i="59"/>
  <c r="J126" i="59" s="1"/>
  <c r="K127" i="59"/>
  <c r="J127" i="59" s="1"/>
  <c r="K128" i="59"/>
  <c r="J128" i="59" s="1"/>
  <c r="K129" i="59"/>
  <c r="J129" i="59" s="1"/>
  <c r="K130" i="59"/>
  <c r="J130" i="59" s="1"/>
  <c r="K131" i="59"/>
  <c r="J131" i="59" s="1"/>
  <c r="K132" i="59"/>
  <c r="J132" i="59" s="1"/>
  <c r="K133" i="59"/>
  <c r="J133" i="59" s="1"/>
  <c r="K134" i="59"/>
  <c r="J134" i="59" s="1"/>
  <c r="K135" i="59"/>
  <c r="J135" i="59" s="1"/>
  <c r="K136" i="59"/>
  <c r="J136" i="59" s="1"/>
  <c r="K137" i="59"/>
  <c r="J137" i="59" s="1"/>
  <c r="K138" i="59"/>
  <c r="J138" i="59" s="1"/>
  <c r="K139" i="59"/>
  <c r="J139" i="59" s="1"/>
  <c r="K140" i="59"/>
  <c r="J140" i="59" s="1"/>
  <c r="K141" i="59"/>
  <c r="J141" i="59" s="1"/>
  <c r="K142" i="59"/>
  <c r="J142" i="59" s="1"/>
  <c r="K143" i="59"/>
  <c r="J143" i="59" s="1"/>
  <c r="K144" i="59"/>
  <c r="J144" i="59" s="1"/>
  <c r="K145" i="59"/>
  <c r="J145" i="59" s="1"/>
  <c r="K146" i="59"/>
  <c r="J146" i="59" s="1"/>
  <c r="K147" i="59"/>
  <c r="J147" i="59" s="1"/>
  <c r="K148" i="59"/>
  <c r="J148" i="59" s="1"/>
  <c r="K149" i="59"/>
  <c r="J149" i="59" s="1"/>
  <c r="K150" i="59"/>
  <c r="J150" i="59" s="1"/>
  <c r="K120" i="59"/>
  <c r="J120" i="59" s="1"/>
  <c r="H225" i="59" l="1"/>
  <c r="J225" i="59"/>
  <c r="D121" i="59"/>
  <c r="E121" i="59"/>
  <c r="F121" i="59"/>
  <c r="G121" i="59"/>
  <c r="D122" i="59"/>
  <c r="E122" i="59"/>
  <c r="F122" i="59"/>
  <c r="G122" i="59"/>
  <c r="D123" i="59"/>
  <c r="E123" i="59"/>
  <c r="F123" i="59"/>
  <c r="G123" i="59"/>
  <c r="D124" i="59"/>
  <c r="E124" i="59"/>
  <c r="F124" i="59"/>
  <c r="G124" i="59"/>
  <c r="D125" i="59"/>
  <c r="D225" i="59" s="1"/>
  <c r="E125" i="59"/>
  <c r="E225" i="59" s="1"/>
  <c r="F125" i="59"/>
  <c r="F225" i="59" s="1"/>
  <c r="G125" i="59"/>
  <c r="G225" i="59" s="1"/>
  <c r="D126" i="59"/>
  <c r="E126" i="59"/>
  <c r="F126" i="59"/>
  <c r="G126" i="59"/>
  <c r="D127" i="59"/>
  <c r="E127" i="59"/>
  <c r="F127" i="59"/>
  <c r="G127" i="59"/>
  <c r="D128" i="59"/>
  <c r="E128" i="59"/>
  <c r="F128" i="59"/>
  <c r="G128" i="59"/>
  <c r="D129" i="59"/>
  <c r="E129" i="59"/>
  <c r="F129" i="59"/>
  <c r="G129" i="59"/>
  <c r="D130" i="59"/>
  <c r="E130" i="59"/>
  <c r="F130" i="59"/>
  <c r="G130" i="59"/>
  <c r="D131" i="59"/>
  <c r="E131" i="59"/>
  <c r="F131" i="59"/>
  <c r="G131" i="59"/>
  <c r="D132" i="59"/>
  <c r="E132" i="59"/>
  <c r="F132" i="59"/>
  <c r="G132" i="59"/>
  <c r="D133" i="59"/>
  <c r="E133" i="59"/>
  <c r="F133" i="59"/>
  <c r="G133" i="59"/>
  <c r="D134" i="59"/>
  <c r="E134" i="59"/>
  <c r="F134" i="59"/>
  <c r="G134" i="59"/>
  <c r="D135" i="59"/>
  <c r="E135" i="59"/>
  <c r="F135" i="59"/>
  <c r="G135" i="59"/>
  <c r="D136" i="59"/>
  <c r="E136" i="59"/>
  <c r="F136" i="59"/>
  <c r="G136" i="59"/>
  <c r="D137" i="59"/>
  <c r="E137" i="59"/>
  <c r="F137" i="59"/>
  <c r="G137" i="59"/>
  <c r="D138" i="59"/>
  <c r="E138" i="59"/>
  <c r="F138" i="59"/>
  <c r="G138" i="59"/>
  <c r="D139" i="59"/>
  <c r="E139" i="59"/>
  <c r="F139" i="59"/>
  <c r="G139" i="59"/>
  <c r="D140" i="59"/>
  <c r="E140" i="59"/>
  <c r="F140" i="59"/>
  <c r="G140" i="59"/>
  <c r="D141" i="59"/>
  <c r="E141" i="59"/>
  <c r="F141" i="59"/>
  <c r="G141" i="59"/>
  <c r="D142" i="59"/>
  <c r="E142" i="59"/>
  <c r="F142" i="59"/>
  <c r="G142" i="59"/>
  <c r="D143" i="59"/>
  <c r="E143" i="59"/>
  <c r="F143" i="59"/>
  <c r="G143" i="59"/>
  <c r="D144" i="59"/>
  <c r="E144" i="59"/>
  <c r="F144" i="59"/>
  <c r="G144" i="59"/>
  <c r="D145" i="59"/>
  <c r="E145" i="59"/>
  <c r="F145" i="59"/>
  <c r="G145" i="59"/>
  <c r="D146" i="59"/>
  <c r="E146" i="59"/>
  <c r="F146" i="59"/>
  <c r="G146" i="59"/>
  <c r="D147" i="59"/>
  <c r="E147" i="59"/>
  <c r="F147" i="59"/>
  <c r="G147" i="59"/>
  <c r="D148" i="59"/>
  <c r="E148" i="59"/>
  <c r="F148" i="59"/>
  <c r="G148" i="59"/>
  <c r="D149" i="59"/>
  <c r="E149" i="59"/>
  <c r="F149" i="59"/>
  <c r="G149" i="59"/>
  <c r="D150" i="59"/>
  <c r="E150" i="59"/>
  <c r="F150" i="59"/>
  <c r="G150" i="59"/>
  <c r="G120" i="59"/>
  <c r="F120" i="59"/>
  <c r="E120" i="59"/>
  <c r="D120" i="59"/>
  <c r="E195" i="59"/>
  <c r="F195" i="59"/>
  <c r="E196" i="59"/>
  <c r="F196" i="59"/>
  <c r="F197" i="59"/>
  <c r="E200" i="59"/>
  <c r="F200" i="59"/>
  <c r="E207" i="59"/>
  <c r="F207" i="59"/>
  <c r="G207" i="59"/>
  <c r="H207" i="59"/>
  <c r="I207" i="59"/>
  <c r="J207" i="59"/>
  <c r="D207" i="59"/>
  <c r="E194" i="59"/>
  <c r="F194" i="59"/>
  <c r="G194" i="59"/>
  <c r="H194" i="59"/>
  <c r="I194" i="59"/>
  <c r="J194" i="59"/>
  <c r="G195" i="59"/>
  <c r="H195" i="59"/>
  <c r="I195" i="59"/>
  <c r="J195" i="59"/>
  <c r="G196" i="59"/>
  <c r="H196" i="59"/>
  <c r="I196" i="59"/>
  <c r="J196" i="59"/>
  <c r="E197" i="59"/>
  <c r="G197" i="59"/>
  <c r="H197" i="59"/>
  <c r="I197" i="59"/>
  <c r="J197" i="59"/>
  <c r="E198" i="59"/>
  <c r="F198" i="59"/>
  <c r="G198" i="59"/>
  <c r="H198" i="59"/>
  <c r="I198" i="59"/>
  <c r="J198" i="59"/>
  <c r="E199" i="59"/>
  <c r="F199" i="59"/>
  <c r="G199" i="59"/>
  <c r="H199" i="59"/>
  <c r="I199" i="59"/>
  <c r="J199" i="59"/>
  <c r="G200" i="59"/>
  <c r="H200" i="59"/>
  <c r="I200" i="59"/>
  <c r="J200" i="59"/>
  <c r="E201" i="59"/>
  <c r="F201" i="59"/>
  <c r="G201" i="59"/>
  <c r="H201" i="59"/>
  <c r="I201" i="59"/>
  <c r="J201" i="59"/>
  <c r="D196" i="59"/>
  <c r="D195" i="59"/>
  <c r="O26" i="61" l="1"/>
  <c r="G13" i="61"/>
  <c r="L26" i="61"/>
  <c r="K16" i="61" s="1"/>
  <c r="E158" i="59"/>
  <c r="F158" i="59"/>
  <c r="G158" i="59"/>
  <c r="H158" i="59"/>
  <c r="I158" i="59"/>
  <c r="J158" i="59"/>
  <c r="E159" i="59"/>
  <c r="F159" i="59"/>
  <c r="G159" i="59"/>
  <c r="H159" i="59"/>
  <c r="I159" i="59"/>
  <c r="J159" i="59"/>
  <c r="E160" i="59"/>
  <c r="F160" i="59"/>
  <c r="G160" i="59"/>
  <c r="H160" i="59"/>
  <c r="I160" i="59"/>
  <c r="J160" i="59"/>
  <c r="E161" i="59"/>
  <c r="F161" i="59"/>
  <c r="G161" i="59"/>
  <c r="H161" i="59"/>
  <c r="I161" i="59"/>
  <c r="J161" i="59"/>
  <c r="E162" i="59"/>
  <c r="F162" i="59"/>
  <c r="G162" i="59"/>
  <c r="H162" i="59"/>
  <c r="I162" i="59"/>
  <c r="J162" i="59"/>
  <c r="E163" i="59"/>
  <c r="F163" i="59"/>
  <c r="G163" i="59"/>
  <c r="H163" i="59"/>
  <c r="I163" i="59"/>
  <c r="J163" i="59"/>
  <c r="E164" i="59"/>
  <c r="F164" i="59"/>
  <c r="G164" i="59"/>
  <c r="H164" i="59"/>
  <c r="I164" i="59"/>
  <c r="J164" i="59"/>
  <c r="E165" i="59"/>
  <c r="F165" i="59"/>
  <c r="G165" i="59"/>
  <c r="H165" i="59"/>
  <c r="I165" i="59"/>
  <c r="J165" i="59"/>
  <c r="E166" i="59"/>
  <c r="F166" i="59"/>
  <c r="G166" i="59"/>
  <c r="H166" i="59"/>
  <c r="I166" i="59"/>
  <c r="J166" i="59"/>
  <c r="E167" i="59"/>
  <c r="F167" i="59"/>
  <c r="G167" i="59"/>
  <c r="H167" i="59"/>
  <c r="I167" i="59"/>
  <c r="J167" i="59"/>
  <c r="E168" i="59"/>
  <c r="F168" i="59"/>
  <c r="G168" i="59"/>
  <c r="H168" i="59"/>
  <c r="I168" i="59"/>
  <c r="J168" i="59"/>
  <c r="E169" i="59"/>
  <c r="F169" i="59"/>
  <c r="G169" i="59"/>
  <c r="H169" i="59"/>
  <c r="I169" i="59"/>
  <c r="J169" i="59"/>
  <c r="E170" i="59"/>
  <c r="F170" i="59"/>
  <c r="G170" i="59"/>
  <c r="H170" i="59"/>
  <c r="I170" i="59"/>
  <c r="J170" i="59"/>
  <c r="E171" i="59"/>
  <c r="F171" i="59"/>
  <c r="G171" i="59"/>
  <c r="H171" i="59"/>
  <c r="I171" i="59"/>
  <c r="J171" i="59"/>
  <c r="E172" i="59"/>
  <c r="F172" i="59"/>
  <c r="G172" i="59"/>
  <c r="H172" i="59"/>
  <c r="I172" i="59"/>
  <c r="J172" i="59"/>
  <c r="E173" i="59"/>
  <c r="F173" i="59"/>
  <c r="G173" i="59"/>
  <c r="H173" i="59"/>
  <c r="I173" i="59"/>
  <c r="J173" i="59"/>
  <c r="E174" i="59"/>
  <c r="F174" i="59"/>
  <c r="G174" i="59"/>
  <c r="H174" i="59"/>
  <c r="I174" i="59"/>
  <c r="J174" i="59"/>
  <c r="E175" i="59"/>
  <c r="F175" i="59"/>
  <c r="G175" i="59"/>
  <c r="H175" i="59"/>
  <c r="I175" i="59"/>
  <c r="J175" i="59"/>
  <c r="E176" i="59"/>
  <c r="F176" i="59"/>
  <c r="G176" i="59"/>
  <c r="H176" i="59"/>
  <c r="I176" i="59"/>
  <c r="J176" i="59"/>
  <c r="E177" i="59"/>
  <c r="F177" i="59"/>
  <c r="G177" i="59"/>
  <c r="H177" i="59"/>
  <c r="I177" i="59"/>
  <c r="J177" i="59"/>
  <c r="E178" i="59"/>
  <c r="F178" i="59"/>
  <c r="G178" i="59"/>
  <c r="H178" i="59"/>
  <c r="I178" i="59"/>
  <c r="J178" i="59"/>
  <c r="E179" i="59"/>
  <c r="F179" i="59"/>
  <c r="G179" i="59"/>
  <c r="H179" i="59"/>
  <c r="I179" i="59"/>
  <c r="J179" i="59"/>
  <c r="E180" i="59"/>
  <c r="F180" i="59"/>
  <c r="G180" i="59"/>
  <c r="H180" i="59"/>
  <c r="I180" i="59"/>
  <c r="J180" i="59"/>
  <c r="E181" i="59"/>
  <c r="F181" i="59"/>
  <c r="G181" i="59"/>
  <c r="H181" i="59"/>
  <c r="I181" i="59"/>
  <c r="J181" i="59"/>
  <c r="E182" i="59"/>
  <c r="F182" i="59"/>
  <c r="G182" i="59"/>
  <c r="H182" i="59"/>
  <c r="I182" i="59"/>
  <c r="J182" i="59"/>
  <c r="E183" i="59"/>
  <c r="F183" i="59"/>
  <c r="G183" i="59"/>
  <c r="H183" i="59"/>
  <c r="I183" i="59"/>
  <c r="J183" i="59"/>
  <c r="E184" i="59"/>
  <c r="F184" i="59"/>
  <c r="G184" i="59"/>
  <c r="H184" i="59"/>
  <c r="I184" i="59"/>
  <c r="J184" i="59"/>
  <c r="E185" i="59"/>
  <c r="F185" i="59"/>
  <c r="G185" i="59"/>
  <c r="H185" i="59"/>
  <c r="I185" i="59"/>
  <c r="J185" i="59"/>
  <c r="E186" i="59"/>
  <c r="F186" i="59"/>
  <c r="G186" i="59"/>
  <c r="H186" i="59"/>
  <c r="I186" i="59"/>
  <c r="J186" i="59"/>
  <c r="E187" i="59"/>
  <c r="F187" i="59"/>
  <c r="G187" i="59"/>
  <c r="H187" i="59"/>
  <c r="I187" i="59"/>
  <c r="J187" i="59"/>
  <c r="E188" i="59"/>
  <c r="F188" i="59"/>
  <c r="G188" i="59"/>
  <c r="H188" i="59"/>
  <c r="I188" i="59"/>
  <c r="J188" i="59"/>
  <c r="E189" i="59"/>
  <c r="F189" i="59"/>
  <c r="G189" i="59"/>
  <c r="H189" i="59"/>
  <c r="I189" i="59"/>
  <c r="J189" i="59"/>
  <c r="E190" i="59"/>
  <c r="F190" i="59"/>
  <c r="G190" i="59"/>
  <c r="H190" i="59"/>
  <c r="I190" i="59"/>
  <c r="J190" i="59"/>
  <c r="E191" i="59"/>
  <c r="F191" i="59"/>
  <c r="G191" i="59"/>
  <c r="H191" i="59"/>
  <c r="I191" i="59"/>
  <c r="J191" i="59"/>
  <c r="E192" i="59"/>
  <c r="F192" i="59"/>
  <c r="G192" i="59"/>
  <c r="H192" i="59"/>
  <c r="I192" i="59"/>
  <c r="J192" i="59"/>
  <c r="E193" i="59"/>
  <c r="F193" i="59"/>
  <c r="G193" i="59"/>
  <c r="H193" i="59"/>
  <c r="I193" i="59"/>
  <c r="J193" i="59"/>
  <c r="E202" i="59"/>
  <c r="F202" i="59"/>
  <c r="G202" i="59"/>
  <c r="H202" i="59"/>
  <c r="I202" i="59"/>
  <c r="J202" i="59"/>
  <c r="E203" i="59"/>
  <c r="F203" i="59"/>
  <c r="G203" i="59"/>
  <c r="H203" i="59"/>
  <c r="I203" i="59"/>
  <c r="J203" i="59"/>
  <c r="E204" i="59"/>
  <c r="F204" i="59"/>
  <c r="G204" i="59"/>
  <c r="H204" i="59"/>
  <c r="I204" i="59"/>
  <c r="J204" i="59"/>
  <c r="E205" i="59"/>
  <c r="F205" i="59"/>
  <c r="G205" i="59"/>
  <c r="H205" i="59"/>
  <c r="I205" i="59"/>
  <c r="J205" i="59"/>
  <c r="E206" i="59"/>
  <c r="F206" i="59"/>
  <c r="G206" i="59"/>
  <c r="H206" i="59"/>
  <c r="I206" i="59"/>
  <c r="J206" i="59"/>
  <c r="E208" i="59"/>
  <c r="F208" i="59"/>
  <c r="G208" i="59"/>
  <c r="H208" i="59"/>
  <c r="I208" i="59"/>
  <c r="J208" i="59"/>
  <c r="E209" i="59"/>
  <c r="F209" i="59"/>
  <c r="G209" i="59"/>
  <c r="H209" i="59"/>
  <c r="I209" i="59"/>
  <c r="J209" i="59"/>
  <c r="E210" i="59"/>
  <c r="F210" i="59"/>
  <c r="G210" i="59"/>
  <c r="H210" i="59"/>
  <c r="I210" i="59"/>
  <c r="J210" i="59"/>
  <c r="E211" i="59"/>
  <c r="F211" i="59"/>
  <c r="G211" i="59"/>
  <c r="H211" i="59"/>
  <c r="I211" i="59"/>
  <c r="J211" i="59"/>
  <c r="E212" i="59"/>
  <c r="F212" i="59"/>
  <c r="G212" i="59"/>
  <c r="H212" i="59"/>
  <c r="I212" i="59"/>
  <c r="J212" i="59"/>
  <c r="E213" i="59"/>
  <c r="F213" i="59"/>
  <c r="G213" i="59"/>
  <c r="H213" i="59"/>
  <c r="I213" i="59"/>
  <c r="J213" i="59"/>
  <c r="E214" i="59"/>
  <c r="F214" i="59"/>
  <c r="G214" i="59"/>
  <c r="H214" i="59"/>
  <c r="I214" i="59"/>
  <c r="J214" i="59"/>
  <c r="E215" i="59"/>
  <c r="F215" i="59"/>
  <c r="G215" i="59"/>
  <c r="H215" i="59"/>
  <c r="I215" i="59"/>
  <c r="J215" i="59"/>
  <c r="E216" i="59"/>
  <c r="F216" i="59"/>
  <c r="G216" i="59"/>
  <c r="H216" i="59"/>
  <c r="I216" i="59"/>
  <c r="J216" i="59"/>
  <c r="E217" i="59"/>
  <c r="F217" i="59"/>
  <c r="G217" i="59"/>
  <c r="H217" i="59"/>
  <c r="I217" i="59"/>
  <c r="J217" i="59"/>
  <c r="E218" i="59"/>
  <c r="F218" i="59"/>
  <c r="G218" i="59"/>
  <c r="H218" i="59"/>
  <c r="I218" i="59"/>
  <c r="J218" i="59"/>
  <c r="E219" i="59"/>
  <c r="F219" i="59"/>
  <c r="G219" i="59"/>
  <c r="H219" i="59"/>
  <c r="I219" i="59"/>
  <c r="J219" i="59"/>
  <c r="E220" i="59"/>
  <c r="F220" i="59"/>
  <c r="G220" i="59"/>
  <c r="H220" i="59"/>
  <c r="E221" i="59"/>
  <c r="F221" i="59"/>
  <c r="G221" i="59"/>
  <c r="H221" i="59"/>
  <c r="E222" i="59"/>
  <c r="F222" i="59"/>
  <c r="G222" i="59"/>
  <c r="H222" i="59"/>
  <c r="E223" i="59"/>
  <c r="F223" i="59"/>
  <c r="G223" i="59"/>
  <c r="H223" i="59"/>
  <c r="E224" i="59"/>
  <c r="F224" i="59"/>
  <c r="G224" i="59"/>
  <c r="H224" i="59"/>
  <c r="E226" i="59"/>
  <c r="F226" i="59"/>
  <c r="G226" i="59"/>
  <c r="H226" i="59"/>
  <c r="E227" i="59"/>
  <c r="F227" i="59"/>
  <c r="G227" i="59"/>
  <c r="H227" i="59"/>
  <c r="E228" i="59"/>
  <c r="F228" i="59"/>
  <c r="G228" i="59"/>
  <c r="H228" i="59"/>
  <c r="E229" i="59"/>
  <c r="F229" i="59"/>
  <c r="G229" i="59"/>
  <c r="H229" i="59"/>
  <c r="E230" i="59"/>
  <c r="F230" i="59"/>
  <c r="G230" i="59"/>
  <c r="H230" i="59"/>
  <c r="E231" i="59"/>
  <c r="F231" i="59"/>
  <c r="G231" i="59"/>
  <c r="H231" i="59"/>
  <c r="E232" i="59"/>
  <c r="F232" i="59"/>
  <c r="G232" i="59"/>
  <c r="H232" i="59"/>
  <c r="E233" i="59"/>
  <c r="F233" i="59"/>
  <c r="G233" i="59"/>
  <c r="H233" i="59"/>
  <c r="E234" i="59"/>
  <c r="F234" i="59"/>
  <c r="G234" i="59"/>
  <c r="H234" i="59"/>
  <c r="E235" i="59"/>
  <c r="F235" i="59"/>
  <c r="G235" i="59"/>
  <c r="H235" i="59"/>
  <c r="E236" i="59"/>
  <c r="F236" i="59"/>
  <c r="G236" i="59"/>
  <c r="H236" i="59"/>
  <c r="E237" i="59"/>
  <c r="F237" i="59"/>
  <c r="G237" i="59"/>
  <c r="H237" i="59"/>
  <c r="E238" i="59"/>
  <c r="F238" i="59"/>
  <c r="G238" i="59"/>
  <c r="H238" i="59"/>
  <c r="E239" i="59"/>
  <c r="F239" i="59"/>
  <c r="G239" i="59"/>
  <c r="H239" i="59"/>
  <c r="E240" i="59"/>
  <c r="F240" i="59"/>
  <c r="G240" i="59"/>
  <c r="H240" i="59"/>
  <c r="E241" i="59"/>
  <c r="F241" i="59"/>
  <c r="G241" i="59"/>
  <c r="H241" i="59"/>
  <c r="E242" i="59"/>
  <c r="F242" i="59"/>
  <c r="G242" i="59"/>
  <c r="H242" i="59"/>
  <c r="E243" i="59"/>
  <c r="F243" i="59"/>
  <c r="G243" i="59"/>
  <c r="H243" i="59"/>
  <c r="E244" i="59"/>
  <c r="F244" i="59"/>
  <c r="G244" i="59"/>
  <c r="H244" i="59"/>
  <c r="E245" i="59"/>
  <c r="F245" i="59"/>
  <c r="G245" i="59"/>
  <c r="H245" i="59"/>
  <c r="E246" i="59"/>
  <c r="F246" i="59"/>
  <c r="G246" i="59"/>
  <c r="H246" i="59"/>
  <c r="E247" i="59"/>
  <c r="F247" i="59"/>
  <c r="G247" i="59"/>
  <c r="H247" i="59"/>
  <c r="E248" i="59"/>
  <c r="F248" i="59"/>
  <c r="G248" i="59"/>
  <c r="H248" i="59"/>
  <c r="E249" i="59"/>
  <c r="F249" i="59"/>
  <c r="G249" i="59"/>
  <c r="H249" i="59"/>
  <c r="E250" i="59"/>
  <c r="F250" i="59"/>
  <c r="G250" i="59"/>
  <c r="H250" i="59"/>
  <c r="D250" i="59"/>
  <c r="D249" i="59"/>
  <c r="D248" i="59"/>
  <c r="D247" i="59"/>
  <c r="D246" i="59"/>
  <c r="D245" i="59"/>
  <c r="D244" i="59"/>
  <c r="D243" i="59"/>
  <c r="D242" i="59"/>
  <c r="D241" i="59"/>
  <c r="D240" i="59"/>
  <c r="D239" i="59"/>
  <c r="D238" i="59"/>
  <c r="D237" i="59"/>
  <c r="D236" i="59"/>
  <c r="D235" i="59"/>
  <c r="D234" i="59"/>
  <c r="D233" i="59"/>
  <c r="D232" i="59"/>
  <c r="D231" i="59"/>
  <c r="D230" i="59"/>
  <c r="D229" i="59"/>
  <c r="D228" i="59"/>
  <c r="D227" i="59"/>
  <c r="D226" i="59"/>
  <c r="D224" i="59"/>
  <c r="D223" i="59"/>
  <c r="D222" i="59"/>
  <c r="D221" i="59"/>
  <c r="D219" i="59"/>
  <c r="D218" i="59"/>
  <c r="D217" i="59"/>
  <c r="D216" i="59"/>
  <c r="D215" i="59"/>
  <c r="D214" i="59"/>
  <c r="D213" i="59"/>
  <c r="D212" i="59"/>
  <c r="D211" i="59"/>
  <c r="D210" i="59"/>
  <c r="D209" i="59"/>
  <c r="D208" i="59"/>
  <c r="D206" i="59"/>
  <c r="D205" i="59"/>
  <c r="D204" i="59"/>
  <c r="D203" i="59"/>
  <c r="D202" i="59"/>
  <c r="D201" i="59"/>
  <c r="D200" i="59"/>
  <c r="D199" i="59"/>
  <c r="D198" i="59"/>
  <c r="D197" i="59"/>
  <c r="D194" i="59"/>
  <c r="D193" i="59"/>
  <c r="D192" i="59"/>
  <c r="D191" i="59"/>
  <c r="D190" i="59"/>
  <c r="D220" i="59"/>
  <c r="D189" i="59"/>
  <c r="D159" i="59"/>
  <c r="D188" i="59"/>
  <c r="D187" i="59"/>
  <c r="D186" i="59"/>
  <c r="D185" i="59"/>
  <c r="D184" i="59"/>
  <c r="D183" i="59"/>
  <c r="D182" i="59"/>
  <c r="D181" i="59"/>
  <c r="D180" i="59"/>
  <c r="D179" i="59"/>
  <c r="D178" i="59"/>
  <c r="D177" i="59"/>
  <c r="D176" i="59"/>
  <c r="D175" i="59"/>
  <c r="D174" i="59"/>
  <c r="D173" i="59"/>
  <c r="D172" i="59"/>
  <c r="D171" i="59"/>
  <c r="D170" i="59"/>
  <c r="D169" i="59"/>
  <c r="D168" i="59"/>
  <c r="D167" i="59"/>
  <c r="D166" i="59"/>
  <c r="D165" i="59"/>
  <c r="D164" i="59"/>
  <c r="D163" i="59"/>
  <c r="D162" i="59"/>
  <c r="D161" i="59"/>
  <c r="D160" i="59"/>
  <c r="D158" i="59"/>
  <c r="E13" i="61" l="1"/>
  <c r="K17" i="61"/>
  <c r="K18" i="61"/>
  <c r="C13" i="61"/>
  <c r="P26" i="61"/>
  <c r="F13" i="61"/>
  <c r="H57" i="59"/>
  <c r="H54" i="59"/>
  <c r="M58" i="59"/>
  <c r="M59" i="59"/>
  <c r="I46" i="59"/>
  <c r="N58" i="59"/>
  <c r="O58" i="59"/>
  <c r="P58" i="59"/>
  <c r="Q58" i="59"/>
  <c r="N59" i="59"/>
  <c r="O59" i="59"/>
  <c r="P59" i="59"/>
  <c r="Q59" i="59"/>
  <c r="N60" i="59"/>
  <c r="O60" i="59"/>
  <c r="P60" i="59"/>
  <c r="Q60" i="59"/>
  <c r="N61" i="59"/>
  <c r="O61" i="59"/>
  <c r="P61" i="59"/>
  <c r="Q61" i="59"/>
  <c r="N62" i="59"/>
  <c r="O62" i="59"/>
  <c r="P62" i="59"/>
  <c r="Q62" i="59"/>
  <c r="N63" i="59"/>
  <c r="O63" i="59"/>
  <c r="P63" i="59"/>
  <c r="Q63" i="59"/>
  <c r="N64" i="59"/>
  <c r="O64" i="59"/>
  <c r="P64" i="59"/>
  <c r="Q64" i="59"/>
  <c r="N65" i="59"/>
  <c r="O65" i="59"/>
  <c r="P65" i="59"/>
  <c r="Q65" i="59"/>
  <c r="N66" i="59"/>
  <c r="O66" i="59"/>
  <c r="P66" i="59"/>
  <c r="Q66" i="59"/>
  <c r="N67" i="59"/>
  <c r="O67" i="59"/>
  <c r="P67" i="59"/>
  <c r="Q67" i="59"/>
  <c r="N68" i="59"/>
  <c r="O68" i="59"/>
  <c r="P68" i="59"/>
  <c r="Q68" i="59"/>
  <c r="N69" i="59"/>
  <c r="O69" i="59"/>
  <c r="P69" i="59"/>
  <c r="Q69" i="59"/>
  <c r="N70" i="59"/>
  <c r="O70" i="59"/>
  <c r="P70" i="59"/>
  <c r="Q70" i="59"/>
  <c r="N71" i="59"/>
  <c r="O71" i="59"/>
  <c r="P71" i="59"/>
  <c r="Q71" i="59"/>
  <c r="N72" i="59"/>
  <c r="O72" i="59"/>
  <c r="P72" i="59"/>
  <c r="Q72" i="59"/>
  <c r="N73" i="59"/>
  <c r="O73" i="59"/>
  <c r="P73" i="59"/>
  <c r="Q73" i="59"/>
  <c r="N74" i="59"/>
  <c r="O74" i="59"/>
  <c r="P74" i="59"/>
  <c r="Q74" i="59"/>
  <c r="N75" i="59"/>
  <c r="O75" i="59"/>
  <c r="P75" i="59"/>
  <c r="Q75" i="59"/>
  <c r="N76" i="59"/>
  <c r="O76" i="59"/>
  <c r="P76" i="59"/>
  <c r="Q76" i="59"/>
  <c r="N77" i="59"/>
  <c r="O77" i="59"/>
  <c r="P77" i="59"/>
  <c r="Q77" i="59"/>
  <c r="N78" i="59"/>
  <c r="O78" i="59"/>
  <c r="P78" i="59"/>
  <c r="Q78" i="59"/>
  <c r="N79" i="59"/>
  <c r="O79" i="59"/>
  <c r="P79" i="59"/>
  <c r="Q79" i="59"/>
  <c r="N80" i="59"/>
  <c r="O80" i="59"/>
  <c r="P80" i="59"/>
  <c r="Q80" i="59"/>
  <c r="N81" i="59"/>
  <c r="O81" i="59"/>
  <c r="P81" i="59"/>
  <c r="Q81" i="59"/>
  <c r="N82" i="59"/>
  <c r="O82" i="59"/>
  <c r="P82" i="59"/>
  <c r="Q82" i="59"/>
  <c r="N83" i="59"/>
  <c r="O83" i="59"/>
  <c r="P83" i="59"/>
  <c r="Q83" i="59"/>
  <c r="N84" i="59"/>
  <c r="O84" i="59"/>
  <c r="P84" i="59"/>
  <c r="Q84" i="59"/>
  <c r="N85" i="59"/>
  <c r="O85" i="59"/>
  <c r="P85" i="59"/>
  <c r="Q85" i="59"/>
  <c r="N86" i="59"/>
  <c r="O86" i="59"/>
  <c r="P86" i="59"/>
  <c r="Q86" i="59"/>
  <c r="N87" i="59"/>
  <c r="O87" i="59"/>
  <c r="P87" i="59"/>
  <c r="Q87" i="59"/>
  <c r="N88" i="59"/>
  <c r="O88" i="59"/>
  <c r="P88" i="59"/>
  <c r="Q88" i="59"/>
  <c r="N89" i="59"/>
  <c r="O89" i="59"/>
  <c r="P89" i="59"/>
  <c r="Q89" i="59"/>
  <c r="N90" i="59"/>
  <c r="O90" i="59"/>
  <c r="P90" i="59"/>
  <c r="Q90" i="59"/>
  <c r="N91" i="59"/>
  <c r="O91" i="59"/>
  <c r="P91" i="59"/>
  <c r="Q91" i="59"/>
  <c r="N92" i="59"/>
  <c r="O92" i="59"/>
  <c r="P92" i="59"/>
  <c r="Q92" i="59"/>
  <c r="N93" i="59"/>
  <c r="O93" i="59"/>
  <c r="P93" i="59"/>
  <c r="Q93" i="59"/>
  <c r="N94" i="59"/>
  <c r="O94" i="59"/>
  <c r="P94" i="59"/>
  <c r="Q94" i="59"/>
  <c r="N95" i="59"/>
  <c r="O95" i="59"/>
  <c r="P95" i="59"/>
  <c r="Q95" i="59"/>
  <c r="N96" i="59"/>
  <c r="D50" i="59" s="1"/>
  <c r="O96" i="59"/>
  <c r="P96" i="59"/>
  <c r="Q96" i="59"/>
  <c r="N97" i="59"/>
  <c r="O97" i="59"/>
  <c r="P97" i="59"/>
  <c r="Q97" i="59"/>
  <c r="N98" i="59"/>
  <c r="O98" i="59"/>
  <c r="P98" i="59"/>
  <c r="Q98" i="59"/>
  <c r="N99" i="59"/>
  <c r="O99" i="59"/>
  <c r="P99" i="59"/>
  <c r="Q99" i="59"/>
  <c r="N100" i="59"/>
  <c r="O100" i="59"/>
  <c r="P100" i="59"/>
  <c r="Q100" i="59"/>
  <c r="N101" i="59"/>
  <c r="O101" i="59"/>
  <c r="P101" i="59"/>
  <c r="Q101" i="59"/>
  <c r="N102" i="59"/>
  <c r="O102" i="59"/>
  <c r="P102" i="59"/>
  <c r="Q102" i="59"/>
  <c r="N103" i="59"/>
  <c r="O103" i="59"/>
  <c r="P103" i="59"/>
  <c r="Q103" i="59"/>
  <c r="N104" i="59"/>
  <c r="O104" i="59"/>
  <c r="P104" i="59"/>
  <c r="Q104" i="59"/>
  <c r="N105" i="59"/>
  <c r="O105" i="59"/>
  <c r="P105" i="59"/>
  <c r="Q105" i="59"/>
  <c r="N106" i="59"/>
  <c r="O106" i="59"/>
  <c r="P106" i="59"/>
  <c r="Q106" i="59"/>
  <c r="N107" i="59"/>
  <c r="O107" i="59"/>
  <c r="P107" i="59"/>
  <c r="Q107" i="59"/>
  <c r="N108" i="59"/>
  <c r="O108" i="59"/>
  <c r="P108" i="59"/>
  <c r="Q108" i="59"/>
  <c r="N109" i="59"/>
  <c r="O109" i="59"/>
  <c r="P109" i="59"/>
  <c r="Q109" i="59"/>
  <c r="N110" i="59"/>
  <c r="O110" i="59"/>
  <c r="P110" i="59"/>
  <c r="Q110" i="59"/>
  <c r="N111" i="59"/>
  <c r="O111" i="59"/>
  <c r="P111" i="59"/>
  <c r="Q111" i="59"/>
  <c r="N112" i="59"/>
  <c r="O112" i="59"/>
  <c r="P112" i="59"/>
  <c r="Q112" i="59"/>
  <c r="N113" i="59"/>
  <c r="O113" i="59"/>
  <c r="P113" i="59"/>
  <c r="Q113" i="59"/>
  <c r="N114" i="59"/>
  <c r="O114" i="59"/>
  <c r="P114" i="59"/>
  <c r="Q114" i="59"/>
  <c r="N115" i="59"/>
  <c r="O115" i="59"/>
  <c r="P115" i="59"/>
  <c r="Q115" i="59"/>
  <c r="N116" i="59"/>
  <c r="O116" i="59"/>
  <c r="P116" i="59"/>
  <c r="Q116" i="59"/>
  <c r="N117" i="59"/>
  <c r="O117" i="59"/>
  <c r="P117" i="59"/>
  <c r="Q117" i="59"/>
  <c r="N118" i="59"/>
  <c r="O118" i="59"/>
  <c r="P118" i="59"/>
  <c r="Q118" i="59"/>
  <c r="N119" i="59"/>
  <c r="O119" i="59"/>
  <c r="P119" i="59"/>
  <c r="Q119" i="59"/>
  <c r="N120" i="59"/>
  <c r="O120" i="59"/>
  <c r="P120" i="59"/>
  <c r="N121" i="59"/>
  <c r="O121" i="59"/>
  <c r="P121" i="59"/>
  <c r="N122" i="59"/>
  <c r="O122" i="59"/>
  <c r="P122" i="59"/>
  <c r="N123" i="59"/>
  <c r="O123" i="59"/>
  <c r="P123" i="59"/>
  <c r="N124" i="59"/>
  <c r="O124" i="59"/>
  <c r="P124" i="59"/>
  <c r="N125" i="59"/>
  <c r="O125" i="59"/>
  <c r="P125" i="59"/>
  <c r="N126" i="59"/>
  <c r="O126" i="59"/>
  <c r="P126" i="59"/>
  <c r="N127" i="59"/>
  <c r="O127" i="59"/>
  <c r="P127" i="59"/>
  <c r="N128" i="59"/>
  <c r="O128" i="59"/>
  <c r="P128" i="59"/>
  <c r="N129" i="59"/>
  <c r="O129" i="59"/>
  <c r="P129" i="59"/>
  <c r="N130" i="59"/>
  <c r="O130" i="59"/>
  <c r="P130" i="59"/>
  <c r="N131" i="59"/>
  <c r="O131" i="59"/>
  <c r="P131" i="59"/>
  <c r="N132" i="59"/>
  <c r="O132" i="59"/>
  <c r="P132" i="59"/>
  <c r="N133" i="59"/>
  <c r="O133" i="59"/>
  <c r="P133" i="59"/>
  <c r="N134" i="59"/>
  <c r="O134" i="59"/>
  <c r="P134" i="59"/>
  <c r="N135" i="59"/>
  <c r="O135" i="59"/>
  <c r="P135" i="59"/>
  <c r="N136" i="59"/>
  <c r="O136" i="59"/>
  <c r="P136" i="59"/>
  <c r="N137" i="59"/>
  <c r="O137" i="59"/>
  <c r="P137" i="59"/>
  <c r="N138" i="59"/>
  <c r="O138" i="59"/>
  <c r="P138" i="59"/>
  <c r="N139" i="59"/>
  <c r="O139" i="59"/>
  <c r="P139" i="59"/>
  <c r="N140" i="59"/>
  <c r="O140" i="59"/>
  <c r="P140" i="59"/>
  <c r="N141" i="59"/>
  <c r="O141" i="59"/>
  <c r="P141" i="59"/>
  <c r="N142" i="59"/>
  <c r="O142" i="59"/>
  <c r="P142" i="59"/>
  <c r="N143" i="59"/>
  <c r="O143" i="59"/>
  <c r="P143" i="59"/>
  <c r="N144" i="59"/>
  <c r="O144" i="59"/>
  <c r="P144" i="59"/>
  <c r="N145" i="59"/>
  <c r="O145" i="59"/>
  <c r="P145" i="59"/>
  <c r="N146" i="59"/>
  <c r="O146" i="59"/>
  <c r="P146" i="59"/>
  <c r="N147" i="59"/>
  <c r="O147" i="59"/>
  <c r="P147" i="59"/>
  <c r="N148" i="59"/>
  <c r="O148" i="59"/>
  <c r="P148" i="59"/>
  <c r="N149" i="59"/>
  <c r="O149" i="59"/>
  <c r="P149" i="59"/>
  <c r="N150" i="59"/>
  <c r="O150" i="59"/>
  <c r="P150" i="59"/>
  <c r="M60" i="59"/>
  <c r="M61" i="59"/>
  <c r="M62" i="59"/>
  <c r="M63" i="59"/>
  <c r="M64" i="59"/>
  <c r="M65" i="59"/>
  <c r="M66" i="59"/>
  <c r="M67" i="59"/>
  <c r="M68" i="59"/>
  <c r="M69" i="59"/>
  <c r="M70" i="59"/>
  <c r="M71" i="59"/>
  <c r="M72" i="59"/>
  <c r="M73" i="59"/>
  <c r="M74" i="59"/>
  <c r="M75" i="59"/>
  <c r="M76" i="59"/>
  <c r="M77" i="59"/>
  <c r="M78" i="59"/>
  <c r="M79" i="59"/>
  <c r="M80" i="59"/>
  <c r="M81" i="59"/>
  <c r="M82" i="59"/>
  <c r="M83" i="59"/>
  <c r="M84" i="59"/>
  <c r="M85" i="59"/>
  <c r="M86" i="59"/>
  <c r="M87" i="59"/>
  <c r="M88" i="59"/>
  <c r="M89" i="59"/>
  <c r="M90" i="59"/>
  <c r="M91" i="59"/>
  <c r="M92" i="59"/>
  <c r="M93" i="59"/>
  <c r="M94" i="59"/>
  <c r="M95" i="59"/>
  <c r="M96" i="59"/>
  <c r="M97" i="59"/>
  <c r="M98" i="59"/>
  <c r="M99" i="59"/>
  <c r="M100" i="59"/>
  <c r="M101" i="59"/>
  <c r="M102" i="59"/>
  <c r="M103" i="59"/>
  <c r="M104" i="59"/>
  <c r="M105" i="59"/>
  <c r="M106" i="59"/>
  <c r="M107" i="59"/>
  <c r="M108" i="59"/>
  <c r="M109" i="59"/>
  <c r="M110" i="59"/>
  <c r="M111" i="59"/>
  <c r="M112" i="59"/>
  <c r="M113" i="59"/>
  <c r="M114" i="59"/>
  <c r="M115" i="59"/>
  <c r="M116" i="59"/>
  <c r="M117" i="59"/>
  <c r="M118" i="59"/>
  <c r="M119" i="59"/>
  <c r="H51" i="59"/>
  <c r="H46" i="59"/>
  <c r="I49" i="59"/>
  <c r="H48" i="59"/>
  <c r="J221" i="59"/>
  <c r="J222" i="59"/>
  <c r="J223" i="59"/>
  <c r="J224" i="59"/>
  <c r="J226" i="59"/>
  <c r="J227" i="59"/>
  <c r="J228" i="59"/>
  <c r="J229" i="59"/>
  <c r="J230" i="59"/>
  <c r="J231" i="59"/>
  <c r="J232" i="59"/>
  <c r="J233" i="59"/>
  <c r="J234" i="59"/>
  <c r="J235" i="59"/>
  <c r="J236" i="59"/>
  <c r="J237" i="59"/>
  <c r="J238" i="59"/>
  <c r="J239" i="59"/>
  <c r="J240" i="59"/>
  <c r="J241" i="59"/>
  <c r="J242" i="59"/>
  <c r="J243" i="59"/>
  <c r="J244" i="59"/>
  <c r="J245" i="59"/>
  <c r="J246" i="59"/>
  <c r="J247" i="59"/>
  <c r="J248" i="59"/>
  <c r="J249" i="59"/>
  <c r="J250" i="59"/>
  <c r="J220" i="59"/>
  <c r="I56" i="59"/>
  <c r="H56" i="59"/>
  <c r="I55" i="59"/>
  <c r="H55" i="59"/>
  <c r="I53" i="59"/>
  <c r="H53" i="59"/>
  <c r="I52" i="59"/>
  <c r="H52" i="59"/>
  <c r="I50" i="59"/>
  <c r="H50" i="59"/>
  <c r="H49" i="59"/>
  <c r="I47" i="59"/>
  <c r="H47" i="59"/>
  <c r="D49" i="59" l="1"/>
  <c r="D46" i="59"/>
  <c r="D47" i="59"/>
  <c r="D48" i="59"/>
  <c r="D51" i="59"/>
  <c r="N51" i="59" s="1"/>
  <c r="G49" i="59"/>
  <c r="M29" i="61"/>
  <c r="Q19" i="61" s="1"/>
  <c r="F14" i="61"/>
  <c r="C14" i="61"/>
  <c r="P17" i="61"/>
  <c r="Q18" i="61"/>
  <c r="H13" i="61"/>
  <c r="E17" i="61" s="1"/>
  <c r="M26" i="61"/>
  <c r="P16" i="61" s="1"/>
  <c r="C17" i="61"/>
  <c r="H43" i="59"/>
  <c r="H152" i="59" s="1"/>
  <c r="M124" i="59"/>
  <c r="R124" i="59" s="1"/>
  <c r="I120" i="59"/>
  <c r="I220" i="59" s="1"/>
  <c r="I150" i="59"/>
  <c r="I250" i="59" s="1"/>
  <c r="I135" i="59"/>
  <c r="I235" i="59" s="1"/>
  <c r="I134" i="59"/>
  <c r="I234" i="59" s="1"/>
  <c r="M147" i="59"/>
  <c r="R147" i="59" s="1"/>
  <c r="I133" i="59"/>
  <c r="I233" i="59" s="1"/>
  <c r="I142" i="59"/>
  <c r="I242" i="59" s="1"/>
  <c r="I128" i="59"/>
  <c r="I228" i="59" s="1"/>
  <c r="I138" i="59"/>
  <c r="I238" i="59" s="1"/>
  <c r="M149" i="59"/>
  <c r="R149" i="59" s="1"/>
  <c r="I121" i="59"/>
  <c r="I221" i="59" s="1"/>
  <c r="M148" i="59"/>
  <c r="R148" i="59" s="1"/>
  <c r="I146" i="59"/>
  <c r="I246" i="59" s="1"/>
  <c r="I132" i="59"/>
  <c r="I232" i="59" s="1"/>
  <c r="I145" i="59"/>
  <c r="I245" i="59" s="1"/>
  <c r="I131" i="59"/>
  <c r="I231" i="59" s="1"/>
  <c r="I144" i="59"/>
  <c r="I244" i="59" s="1"/>
  <c r="I130" i="59"/>
  <c r="I230" i="59" s="1"/>
  <c r="I143" i="59"/>
  <c r="I243" i="59" s="1"/>
  <c r="I129" i="59"/>
  <c r="I229" i="59" s="1"/>
  <c r="H45" i="59"/>
  <c r="F49" i="59"/>
  <c r="I149" i="59"/>
  <c r="I249" i="59" s="1"/>
  <c r="M121" i="59"/>
  <c r="R121" i="59" s="1"/>
  <c r="E57" i="59"/>
  <c r="F54" i="59"/>
  <c r="E46" i="59"/>
  <c r="F57" i="59"/>
  <c r="G50" i="59"/>
  <c r="E49" i="59"/>
  <c r="D57" i="59"/>
  <c r="F48" i="59"/>
  <c r="D53" i="59"/>
  <c r="F47" i="59"/>
  <c r="E54" i="59"/>
  <c r="G47" i="59"/>
  <c r="G46" i="59"/>
  <c r="Q46" i="59" s="1"/>
  <c r="I124" i="59"/>
  <c r="I224" i="59" s="1"/>
  <c r="I44" i="59"/>
  <c r="F46" i="59"/>
  <c r="E50" i="59"/>
  <c r="E47" i="59"/>
  <c r="I43" i="59"/>
  <c r="I152" i="59" s="1"/>
  <c r="M150" i="59"/>
  <c r="R150" i="59" s="1"/>
  <c r="D56" i="59"/>
  <c r="F50" i="59"/>
  <c r="D52" i="59"/>
  <c r="H44" i="59"/>
  <c r="D54" i="59"/>
  <c r="D55" i="59"/>
  <c r="M123" i="59"/>
  <c r="R123" i="59" s="1"/>
  <c r="I137" i="59"/>
  <c r="I237" i="59" s="1"/>
  <c r="I123" i="59"/>
  <c r="I223" i="59" s="1"/>
  <c r="M122" i="59"/>
  <c r="R122" i="59" s="1"/>
  <c r="I136" i="59"/>
  <c r="I236" i="59" s="1"/>
  <c r="I122" i="59"/>
  <c r="I222" i="59" s="1"/>
  <c r="I148" i="59"/>
  <c r="I248" i="59" s="1"/>
  <c r="I147" i="59"/>
  <c r="I247" i="59" s="1"/>
  <c r="I141" i="59"/>
  <c r="I241" i="59" s="1"/>
  <c r="I127" i="59"/>
  <c r="I227" i="59" s="1"/>
  <c r="I140" i="59"/>
  <c r="I240" i="59" s="1"/>
  <c r="I126" i="59"/>
  <c r="I226" i="59" s="1"/>
  <c r="M125" i="59"/>
  <c r="R125" i="59" s="1"/>
  <c r="I139" i="59"/>
  <c r="I239" i="59" s="1"/>
  <c r="I125" i="59"/>
  <c r="I225" i="59" s="1"/>
  <c r="M140" i="59"/>
  <c r="R140" i="59" s="1"/>
  <c r="M120" i="59"/>
  <c r="R120" i="59" s="1"/>
  <c r="M138" i="59"/>
  <c r="R138" i="59" s="1"/>
  <c r="M137" i="59"/>
  <c r="R137" i="59" s="1"/>
  <c r="M135" i="59"/>
  <c r="R135" i="59" s="1"/>
  <c r="M136" i="59"/>
  <c r="R136" i="59" s="1"/>
  <c r="M134" i="59"/>
  <c r="R134" i="59" s="1"/>
  <c r="M139" i="59"/>
  <c r="R139" i="59" s="1"/>
  <c r="M133" i="59"/>
  <c r="R133" i="59" s="1"/>
  <c r="M127" i="59"/>
  <c r="R127" i="59" s="1"/>
  <c r="M126" i="59"/>
  <c r="R126" i="59" s="1"/>
  <c r="M146" i="59"/>
  <c r="R146" i="59" s="1"/>
  <c r="M132" i="59"/>
  <c r="R132" i="59" s="1"/>
  <c r="M145" i="59"/>
  <c r="R145" i="59" s="1"/>
  <c r="M131" i="59"/>
  <c r="R131" i="59" s="1"/>
  <c r="M144" i="59"/>
  <c r="R144" i="59" s="1"/>
  <c r="M130" i="59"/>
  <c r="R130" i="59" s="1"/>
  <c r="M143" i="59"/>
  <c r="R143" i="59" s="1"/>
  <c r="M129" i="59"/>
  <c r="R129" i="59" s="1"/>
  <c r="E51" i="59"/>
  <c r="E48" i="59"/>
  <c r="M142" i="59"/>
  <c r="R142" i="59" s="1"/>
  <c r="M128" i="59"/>
  <c r="R128" i="59" s="1"/>
  <c r="F51" i="59"/>
  <c r="M141" i="59"/>
  <c r="R141" i="59" s="1"/>
  <c r="J53" i="59"/>
  <c r="F52" i="59"/>
  <c r="E53" i="59"/>
  <c r="J50" i="59"/>
  <c r="J52" i="59"/>
  <c r="J49" i="59"/>
  <c r="E52" i="59"/>
  <c r="F56" i="59"/>
  <c r="J55" i="59"/>
  <c r="J46" i="59"/>
  <c r="J56" i="59"/>
  <c r="G56" i="59"/>
  <c r="G52" i="59"/>
  <c r="F53" i="59"/>
  <c r="F55" i="59"/>
  <c r="G53" i="59"/>
  <c r="G55" i="59"/>
  <c r="E56" i="59"/>
  <c r="E55" i="59"/>
  <c r="J47" i="59"/>
  <c r="C18" i="61" l="1"/>
  <c r="H17" i="61"/>
  <c r="E14" i="61"/>
  <c r="B13" i="61"/>
  <c r="B17" i="61" s="1"/>
  <c r="I9" i="61"/>
  <c r="F18" i="61"/>
  <c r="Q145" i="59"/>
  <c r="H154" i="59"/>
  <c r="F9" i="59" s="1"/>
  <c r="I153" i="59"/>
  <c r="G8" i="59" s="1"/>
  <c r="Q25" i="59" s="1"/>
  <c r="M17" i="59" s="1"/>
  <c r="H153" i="59"/>
  <c r="F8" i="59" s="1"/>
  <c r="Q139" i="59"/>
  <c r="Q144" i="59"/>
  <c r="F7" i="59"/>
  <c r="O25" i="59" s="1"/>
  <c r="R15" i="59" s="1"/>
  <c r="Q131" i="59"/>
  <c r="Q122" i="59"/>
  <c r="P49" i="59"/>
  <c r="Q120" i="59"/>
  <c r="Q49" i="59"/>
  <c r="Q143" i="59"/>
  <c r="Q138" i="59"/>
  <c r="Q123" i="59"/>
  <c r="Q137" i="59"/>
  <c r="Q142" i="59"/>
  <c r="Q133" i="59"/>
  <c r="J43" i="59"/>
  <c r="J152" i="59" s="1"/>
  <c r="G7" i="59"/>
  <c r="N25" i="59" s="1"/>
  <c r="M15" i="59" s="1"/>
  <c r="O50" i="59"/>
  <c r="P57" i="59"/>
  <c r="P54" i="59"/>
  <c r="P55" i="59"/>
  <c r="N57" i="59"/>
  <c r="P53" i="59"/>
  <c r="Q126" i="59"/>
  <c r="O47" i="59"/>
  <c r="O49" i="59"/>
  <c r="Q52" i="59"/>
  <c r="Q140" i="59"/>
  <c r="Q50" i="59"/>
  <c r="Q129" i="59"/>
  <c r="Q56" i="59"/>
  <c r="Q127" i="59"/>
  <c r="O46" i="59"/>
  <c r="Q141" i="59"/>
  <c r="N48" i="59"/>
  <c r="P46" i="59"/>
  <c r="P51" i="59"/>
  <c r="Q132" i="59"/>
  <c r="Q147" i="59"/>
  <c r="N54" i="59"/>
  <c r="Q121" i="59"/>
  <c r="P56" i="59"/>
  <c r="Q146" i="59"/>
  <c r="Q148" i="59"/>
  <c r="Q124" i="59"/>
  <c r="O57" i="59"/>
  <c r="O52" i="59"/>
  <c r="Q134" i="59"/>
  <c r="O48" i="59"/>
  <c r="Q130" i="59"/>
  <c r="Q136" i="59"/>
  <c r="Q47" i="59"/>
  <c r="O55" i="59"/>
  <c r="O51" i="59"/>
  <c r="O54" i="59"/>
  <c r="Q150" i="59"/>
  <c r="O56" i="59"/>
  <c r="Q125" i="59"/>
  <c r="Q135" i="59"/>
  <c r="P50" i="59"/>
  <c r="P47" i="59"/>
  <c r="Q149" i="59"/>
  <c r="Q55" i="59"/>
  <c r="O53" i="59"/>
  <c r="Q128" i="59"/>
  <c r="Q53" i="59"/>
  <c r="P52" i="59"/>
  <c r="P48" i="59"/>
  <c r="M49" i="59"/>
  <c r="J44" i="59"/>
  <c r="J153" i="59" s="1"/>
  <c r="M47" i="59"/>
  <c r="M50" i="59"/>
  <c r="M46" i="59"/>
  <c r="M53" i="59"/>
  <c r="M55" i="59"/>
  <c r="M52" i="59"/>
  <c r="M56" i="59"/>
  <c r="N50" i="59"/>
  <c r="N55" i="59"/>
  <c r="N47" i="59"/>
  <c r="N56" i="59"/>
  <c r="N53" i="59"/>
  <c r="N52" i="59"/>
  <c r="N49" i="59"/>
  <c r="N46" i="59"/>
  <c r="E44" i="59" l="1"/>
  <c r="E153" i="59" s="1"/>
  <c r="J9" i="61"/>
  <c r="P30" i="61"/>
  <c r="Q31" i="61" s="1"/>
  <c r="B14" i="61"/>
  <c r="B18" i="61" s="1"/>
  <c r="F17" i="61"/>
  <c r="I17" i="61" s="1"/>
  <c r="I7" i="61"/>
  <c r="F43" i="59"/>
  <c r="E43" i="59"/>
  <c r="E152" i="59" s="1"/>
  <c r="C7" i="59" s="1"/>
  <c r="E45" i="59"/>
  <c r="E154" i="59" s="1"/>
  <c r="C9" i="59" s="1"/>
  <c r="H8" i="59"/>
  <c r="R25" i="59"/>
  <c r="R16" i="59" s="1"/>
  <c r="O28" i="59"/>
  <c r="S18" i="59" s="1"/>
  <c r="F13" i="59"/>
  <c r="G48" i="59"/>
  <c r="J48" i="59" s="1"/>
  <c r="F12" i="59"/>
  <c r="F44" i="59"/>
  <c r="F153" i="59" s="1"/>
  <c r="D8" i="59" s="1"/>
  <c r="G43" i="59"/>
  <c r="M16" i="59"/>
  <c r="F45" i="59"/>
  <c r="G51" i="59"/>
  <c r="G54" i="59"/>
  <c r="G44" i="59"/>
  <c r="G153" i="59" s="1"/>
  <c r="D45" i="59"/>
  <c r="G57" i="59"/>
  <c r="H7" i="59"/>
  <c r="G12" i="59"/>
  <c r="D44" i="59"/>
  <c r="D43" i="59"/>
  <c r="H14" i="61" l="1"/>
  <c r="G14" i="61"/>
  <c r="G10" i="61" s="1"/>
  <c r="P29" i="61"/>
  <c r="J7" i="61"/>
  <c r="I10" i="61"/>
  <c r="I13" i="61"/>
  <c r="A17" i="61" s="1"/>
  <c r="G152" i="59"/>
  <c r="E7" i="59" s="1"/>
  <c r="S17" i="59"/>
  <c r="H12" i="59"/>
  <c r="D152" i="59"/>
  <c r="B7" i="59" s="1"/>
  <c r="D154" i="59"/>
  <c r="B9" i="59" s="1"/>
  <c r="D153" i="59"/>
  <c r="B8" i="59" s="1"/>
  <c r="F154" i="59"/>
  <c r="F152" i="59"/>
  <c r="D7" i="59" s="1"/>
  <c r="C8" i="59"/>
  <c r="J54" i="59"/>
  <c r="M54" i="59" s="1"/>
  <c r="R54" i="59" s="1"/>
  <c r="J57" i="59"/>
  <c r="I57" i="59" s="1"/>
  <c r="J51" i="59"/>
  <c r="I51" i="59" s="1"/>
  <c r="M43" i="59"/>
  <c r="M44" i="59"/>
  <c r="I48" i="59"/>
  <c r="D9" i="59" l="1"/>
  <c r="C13" i="59" s="1"/>
  <c r="C17" i="59" s="1"/>
  <c r="I14" i="61"/>
  <c r="J10" i="61"/>
  <c r="Q32" i="61"/>
  <c r="L29" i="61"/>
  <c r="K19" i="61" s="1"/>
  <c r="O22" i="61"/>
  <c r="L22" i="61"/>
  <c r="H18" i="61"/>
  <c r="E18" i="61"/>
  <c r="E8" i="59"/>
  <c r="E12" i="59" s="1"/>
  <c r="C12" i="59"/>
  <c r="C16" i="59" s="1"/>
  <c r="B12" i="59"/>
  <c r="B16" i="59" s="1"/>
  <c r="B13" i="59"/>
  <c r="B17" i="59" s="1"/>
  <c r="I7" i="59"/>
  <c r="R28" i="59" s="1"/>
  <c r="F16" i="59"/>
  <c r="M57" i="59"/>
  <c r="R57" i="59" s="1"/>
  <c r="M51" i="59"/>
  <c r="R51" i="59" s="1"/>
  <c r="I54" i="59"/>
  <c r="Q54" i="59" s="1"/>
  <c r="Q48" i="59"/>
  <c r="Q51" i="59"/>
  <c r="Q57" i="59"/>
  <c r="I18" i="61" l="1"/>
  <c r="A18" i="61" s="1"/>
  <c r="K14" i="61"/>
  <c r="M22" i="61"/>
  <c r="K6" i="61"/>
  <c r="K7" i="61" s="1"/>
  <c r="K8" i="61" s="1"/>
  <c r="L24" i="61"/>
  <c r="Q22" i="61"/>
  <c r="K9" i="61"/>
  <c r="K10" i="61" s="1"/>
  <c r="O24" i="61"/>
  <c r="K15" i="61"/>
  <c r="P22" i="61"/>
  <c r="F17" i="59"/>
  <c r="I8" i="59"/>
  <c r="R29" i="59" s="1"/>
  <c r="S30" i="59" s="1"/>
  <c r="H16" i="59"/>
  <c r="E16" i="59"/>
  <c r="J7" i="59"/>
  <c r="G45" i="59"/>
  <c r="G154" i="59" s="1"/>
  <c r="C3" i="2"/>
  <c r="B14" i="2"/>
  <c r="F14" i="2" s="1"/>
  <c r="M10" i="61" l="1"/>
  <c r="O15" i="61"/>
  <c r="K12" i="61"/>
  <c r="P24" i="61"/>
  <c r="K11" i="61"/>
  <c r="M24" i="61"/>
  <c r="Q24" i="61"/>
  <c r="L7" i="61"/>
  <c r="O14" i="61"/>
  <c r="I16" i="59"/>
  <c r="I12" i="59"/>
  <c r="J8" i="59"/>
  <c r="B66" i="2"/>
  <c r="N11" i="61" l="1"/>
  <c r="L6" i="61"/>
  <c r="N12" i="61"/>
  <c r="M9" i="61"/>
  <c r="A16" i="59"/>
  <c r="E9" i="59"/>
  <c r="E13" i="59" s="1"/>
  <c r="AF66" i="2"/>
  <c r="C4" i="2" l="1"/>
  <c r="C5" i="2"/>
  <c r="C6" i="2" l="1"/>
  <c r="C7" i="2" l="1"/>
  <c r="AI3" i="2"/>
  <c r="AI4" i="2" s="1"/>
  <c r="AI5" i="2" s="1"/>
  <c r="AI6" i="2" s="1"/>
  <c r="AI7" i="2" s="1"/>
  <c r="AI8" i="2" s="1"/>
  <c r="C8" i="2" l="1"/>
  <c r="C9" i="2" l="1"/>
  <c r="B12" i="2"/>
  <c r="E12" i="2" s="1"/>
  <c r="B11" i="2"/>
  <c r="D11" i="2" s="1"/>
  <c r="B3" i="2"/>
  <c r="B70" i="2" l="1"/>
  <c r="B63" i="2"/>
  <c r="AD63" i="2" s="1"/>
  <c r="B65" i="2"/>
  <c r="AE65" i="2" s="1"/>
  <c r="B68" i="2"/>
  <c r="AG68" i="2" s="1"/>
  <c r="B13" i="2"/>
  <c r="E13" i="2" s="1"/>
  <c r="B57" i="2"/>
  <c r="B49" i="2"/>
  <c r="W49" i="2" s="1"/>
  <c r="B51" i="2"/>
  <c r="B55" i="2"/>
  <c r="B47" i="2"/>
  <c r="V47" i="2" s="1"/>
  <c r="B59" i="2"/>
  <c r="B43" i="2"/>
  <c r="T43" i="2" s="1"/>
  <c r="B61" i="2"/>
  <c r="AC61" i="2" s="1"/>
  <c r="B53" i="2"/>
  <c r="B45" i="2"/>
  <c r="U45" i="2" s="1"/>
  <c r="B15" i="2"/>
  <c r="F15" i="2" s="1"/>
  <c r="B10" i="2"/>
  <c r="D10" i="2" s="1"/>
  <c r="B16" i="2"/>
  <c r="G16" i="2" s="1"/>
  <c r="B22" i="2" l="1"/>
  <c r="J22" i="2" s="1"/>
  <c r="B34" i="2"/>
  <c r="P34" i="2" s="1"/>
  <c r="B24" i="2"/>
  <c r="K24" i="2" s="1"/>
  <c r="B36" i="2"/>
  <c r="Q36" i="2" s="1"/>
  <c r="B40" i="2"/>
  <c r="S40" i="2" s="1"/>
  <c r="B30" i="2"/>
  <c r="N30" i="2" s="1"/>
  <c r="B20" i="2"/>
  <c r="I20" i="2" s="1"/>
  <c r="B26" i="2"/>
  <c r="L26" i="2" s="1"/>
  <c r="B38" i="2"/>
  <c r="R38" i="2" s="1"/>
  <c r="B28" i="2"/>
  <c r="M28" i="2" s="1"/>
  <c r="B18" i="2"/>
  <c r="H18" i="2" s="1"/>
  <c r="B32" i="2"/>
  <c r="O32" i="2" s="1"/>
  <c r="B42" i="2"/>
  <c r="B64" i="2" s="1"/>
  <c r="AE64" i="2" s="1"/>
  <c r="AJ2" i="2"/>
  <c r="B17" i="2"/>
  <c r="B19" i="2" s="1"/>
  <c r="H19" i="2" s="1"/>
  <c r="T42" i="2" l="1"/>
  <c r="B44" i="2"/>
  <c r="U44" i="2" s="1"/>
  <c r="B54" i="2"/>
  <c r="Z54" i="2" s="1"/>
  <c r="B52" i="2"/>
  <c r="Y52" i="2" s="1"/>
  <c r="B62" i="2"/>
  <c r="AD62" i="2" s="1"/>
  <c r="B60" i="2"/>
  <c r="AC60" i="2" s="1"/>
  <c r="B50" i="2"/>
  <c r="X50" i="2" s="1"/>
  <c r="B48" i="2"/>
  <c r="W48" i="2" s="1"/>
  <c r="B56" i="2"/>
  <c r="AA56" i="2" s="1"/>
  <c r="B58" i="2"/>
  <c r="AB58" i="2" s="1"/>
  <c r="B46" i="2"/>
  <c r="V46" i="2" s="1"/>
  <c r="B69" i="2"/>
  <c r="B67" i="2"/>
  <c r="AG67" i="2" s="1"/>
  <c r="G17" i="2"/>
  <c r="B21" i="2" l="1"/>
  <c r="I21" i="2" s="1"/>
  <c r="B23" i="2" l="1"/>
  <c r="J23" i="2" s="1"/>
  <c r="B25" i="2" l="1"/>
  <c r="K25" i="2" s="1"/>
  <c r="B4" i="2"/>
  <c r="B27" i="2" l="1"/>
  <c r="L27" i="2" s="1"/>
  <c r="AJ3" i="2"/>
  <c r="B29" i="2" l="1"/>
  <c r="M29" i="2" s="1"/>
  <c r="B31" i="2" l="1"/>
  <c r="N31" i="2" s="1"/>
  <c r="B5" i="2"/>
  <c r="B33" i="2" l="1"/>
  <c r="O33" i="2" s="1"/>
  <c r="AJ4" i="2"/>
  <c r="B6" i="2" l="1"/>
  <c r="B35" i="2"/>
  <c r="P35" i="2" s="1"/>
  <c r="AJ5" i="2"/>
  <c r="B7" i="2" l="1"/>
  <c r="B37" i="2"/>
  <c r="Q37" i="2" s="1"/>
  <c r="AJ6" i="2"/>
  <c r="B39" i="2" l="1"/>
  <c r="R39" i="2" s="1"/>
  <c r="B8" i="2" l="1"/>
  <c r="B41" i="2"/>
  <c r="S41" i="2" s="1"/>
  <c r="AJ7" i="2"/>
  <c r="B9" i="2" l="1"/>
  <c r="AJ8" i="2"/>
  <c r="X51" i="2" l="1"/>
  <c r="Y53" i="2" l="1"/>
  <c r="Z55" i="2" l="1"/>
  <c r="AA57" i="2" l="1"/>
  <c r="AB59" i="2" l="1"/>
  <c r="M48" i="59"/>
  <c r="R48" i="59" s="1"/>
  <c r="J45" i="59" s="1"/>
  <c r="J154" i="59" l="1"/>
  <c r="H9" i="59" s="1"/>
  <c r="I45" i="59"/>
  <c r="I154" i="59" s="1"/>
  <c r="M45" i="59"/>
  <c r="G13" i="59" l="1"/>
  <c r="G9" i="59" s="1"/>
  <c r="Q21" i="59" s="1"/>
  <c r="H13" i="59"/>
  <c r="E17" i="59" s="1"/>
  <c r="I9" i="59"/>
  <c r="I13" i="59" s="1"/>
  <c r="H17" i="59" l="1"/>
  <c r="I17" i="59" s="1"/>
  <c r="A17" i="59" s="1"/>
  <c r="J9" i="59"/>
  <c r="S31" i="59"/>
  <c r="N21" i="59"/>
  <c r="N23" i="59" s="1"/>
  <c r="O23" i="59" s="1"/>
  <c r="P10" i="59" s="1"/>
  <c r="N28" i="59"/>
  <c r="M18" i="59" s="1"/>
  <c r="Q23" i="59"/>
  <c r="M14" i="59"/>
  <c r="M8" i="59"/>
  <c r="M9" i="59" s="1"/>
  <c r="R21" i="59"/>
  <c r="M13" i="59" l="1"/>
  <c r="S21" i="59"/>
  <c r="M6" i="59"/>
  <c r="M7" i="59" s="1"/>
  <c r="O21" i="59"/>
  <c r="N7" i="59" s="1"/>
  <c r="M10" i="59"/>
  <c r="Q14" i="59"/>
  <c r="O9" i="59"/>
  <c r="M11" i="59"/>
  <c r="R23" i="59"/>
  <c r="P11" i="59" s="1"/>
  <c r="Q13" i="59" l="1"/>
  <c r="S23" i="59"/>
  <c r="O8" i="59"/>
  <c r="N6"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Lorenzo</author>
  </authors>
  <commentList>
    <comment ref="A1" authorId="0" shapeId="0" xr:uid="{B7CD39F9-E600-45FB-B931-765EDE9FE27D}">
      <text>
        <r>
          <rPr>
            <sz val="15"/>
            <color indexed="81"/>
            <rFont val="Calibri Light"/>
            <family val="2"/>
            <scheme val="major"/>
          </rPr>
          <t xml:space="preserve">With reliable input data, PAMCAM can be a useful language tool for initiating more meaningful conversations around academic program management. Its output points administrators toward a destinaion, but does not provide specifics on how to get there. Refer to the PAMCAM-Tableau model for EWU's official input data and tabular results. Input data for any analytical model will naturally feature some level of uncertaintly. Conclusions drawn from the results should, therefore, be in light of such uncertaintly. </t>
        </r>
        <r>
          <rPr>
            <b/>
            <sz val="9"/>
            <color indexed="81"/>
            <rFont val="Tahoma"/>
            <family val="2"/>
          </rPr>
          <t xml:space="preserve">
</t>
        </r>
      </text>
    </comment>
    <comment ref="H16" authorId="0" shapeId="0" xr:uid="{AF9EB61D-DD8E-4378-B151-E521839EAB3A}">
      <text>
        <r>
          <rPr>
            <sz val="9"/>
            <color indexed="81"/>
            <rFont val="Tahoma"/>
            <family val="2"/>
          </rPr>
          <t xml:space="preserve">If dn = 0, then this is equal to s*dp. If dn&gt;0, then this is greater than s*dp because you are getting more bang for the buck. Put differently, an increase in efficiency for a large operation will yield more cost savings than that for a small operation.
Also, this number is independent of revenue (ie of tuition and state appropriations.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Lorenzo</author>
  </authors>
  <commentList>
    <comment ref="A1" authorId="0" shapeId="0" xr:uid="{4D9E91E6-324F-4C97-94FF-BD05C0C6C795}">
      <text>
        <r>
          <rPr>
            <sz val="15"/>
            <color indexed="81"/>
            <rFont val="Calibri Light"/>
            <family val="2"/>
            <scheme val="major"/>
          </rPr>
          <t xml:space="preserve">With reliable input data, PAMCAM can be a useful language tool for initiating more meaningful conversations around academic program management. Its output points administrators toward a destinaion, but does not provide specifics on how to get there. Refer to the PAMCAM-Tableau model for EWU's official input data and tabular results. The PAMCAM-EXCEL model in this tab is based upon an abridged set of data from PAMCAM-Tableau. Programs not included here are ITDS, Military Science, College Offices, UGRD - Undergraduate Studies, Honors, Core CAHSS, and the Library. Percent changes from FY25 to FYXX are not based upon compounding effects. Input data for any analytical model will naturally feature some level of uncertaintly. Conclusions drawn from the results should, therefore, be in light of such uncertaintly. </t>
        </r>
        <r>
          <rPr>
            <b/>
            <sz val="9"/>
            <color indexed="81"/>
            <rFont val="Tahoma"/>
            <family val="2"/>
          </rPr>
          <t xml:space="preserve">
</t>
        </r>
      </text>
    </comment>
    <comment ref="D6" authorId="0" shapeId="0" xr:uid="{3A82E3BF-CE79-4134-8E9D-31F57B05FB76}">
      <text>
        <r>
          <rPr>
            <sz val="9"/>
            <color indexed="81"/>
            <rFont val="Tahoma"/>
            <family val="2"/>
          </rPr>
          <t>This is determined as follows:
State Appropriations: $90,000,000
$90,000,000 = a*f*n
a = 41, n = 8,270
Solve for f.</t>
        </r>
      </text>
    </comment>
    <comment ref="H15" authorId="0" shapeId="0" xr:uid="{629349F5-997A-4189-8555-145364648393}">
      <text>
        <r>
          <rPr>
            <sz val="9"/>
            <color indexed="81"/>
            <rFont val="Tahoma"/>
            <family val="2"/>
          </rPr>
          <t>If dn = 0, then this is equal to s*dp. If dn&gt;0, then this is greater than s*dp because you are getting more bang for the buck. Put differently, an increase in efficiency for a large operation will yield more cost savings than that for a small operation.
Also, this number is independent of revenue (ie of tuition and state appropriations.</t>
        </r>
      </text>
    </comment>
  </commentList>
</comments>
</file>

<file path=xl/sharedStrings.xml><?xml version="1.0" encoding="utf-8"?>
<sst xmlns="http://schemas.openxmlformats.org/spreadsheetml/2006/main" count="840" uniqueCount="176">
  <si>
    <t>n</t>
  </si>
  <si>
    <t>p</t>
  </si>
  <si>
    <t>bot</t>
  </si>
  <si>
    <t>top</t>
  </si>
  <si>
    <t>left</t>
  </si>
  <si>
    <t>right</t>
  </si>
  <si>
    <t>R</t>
  </si>
  <si>
    <t>m</t>
  </si>
  <si>
    <t>Net Income</t>
  </si>
  <si>
    <t>Target</t>
  </si>
  <si>
    <t>Left</t>
  </si>
  <si>
    <t>Right</t>
  </si>
  <si>
    <t>t</t>
  </si>
  <si>
    <t>f</t>
  </si>
  <si>
    <t>s</t>
  </si>
  <si>
    <t>Prev</t>
  </si>
  <si>
    <t>Cur</t>
  </si>
  <si>
    <t>Proj</t>
  </si>
  <si>
    <t>UL</t>
  </si>
  <si>
    <t>LL</t>
  </si>
  <si>
    <t>UR</t>
  </si>
  <si>
    <t>LR</t>
  </si>
  <si>
    <t>Bottom</t>
  </si>
  <si>
    <t>2 to 3</t>
  </si>
  <si>
    <t>1 to 2</t>
  </si>
  <si>
    <t>A</t>
  </si>
  <si>
    <t>B</t>
  </si>
  <si>
    <t>MinPaxis</t>
  </si>
  <si>
    <t>MinNaxis</t>
  </si>
  <si>
    <t>Δp</t>
  </si>
  <si>
    <t>Δm_ΔR</t>
  </si>
  <si>
    <t>Δn</t>
  </si>
  <si>
    <t>Δm</t>
  </si>
  <si>
    <t>ΔR</t>
  </si>
  <si>
    <t>a</t>
  </si>
  <si>
    <t>2 → 3</t>
  </si>
  <si>
    <t>1 → 2</t>
  </si>
  <si>
    <t>Δm_Δn</t>
  </si>
  <si>
    <t>Δt</t>
  </si>
  <si>
    <t>Δ(a*f)</t>
  </si>
  <si>
    <t>Δs</t>
  </si>
  <si>
    <t>Input</t>
  </si>
  <si>
    <t>Total Changes</t>
  </si>
  <si>
    <t>Exact</t>
  </si>
  <si>
    <t>Taylor</t>
  </si>
  <si>
    <t>Δm_Δt</t>
  </si>
  <si>
    <t>Δm_Δ(af)</t>
  </si>
  <si>
    <t>Δm_Δs</t>
  </si>
  <si>
    <t>PAMCAM 2.0</t>
  </si>
  <si>
    <t>% Error</t>
  </si>
  <si>
    <t>CHSPH</t>
  </si>
  <si>
    <t>CAHSS</t>
  </si>
  <si>
    <t>CPP</t>
  </si>
  <si>
    <t>CSTEM</t>
  </si>
  <si>
    <t>Benefits</t>
  </si>
  <si>
    <t>m/n</t>
  </si>
  <si>
    <t>Change Effects Including Interactions</t>
  </si>
  <si>
    <t>1: FY24</t>
  </si>
  <si>
    <t>2: FY25</t>
  </si>
  <si>
    <t>3: FY30</t>
  </si>
  <si>
    <t>t*n</t>
  </si>
  <si>
    <t>a*n</t>
  </si>
  <si>
    <t>f*n</t>
  </si>
  <si>
    <t>s*p</t>
  </si>
  <si>
    <t>EWU</t>
  </si>
  <si>
    <t>AY24</t>
  </si>
  <si>
    <t>CMSD - Comm. Sciences &amp; Disorders</t>
  </si>
  <si>
    <t>DNHY - Dental Hygiene</t>
  </si>
  <si>
    <t>NURS - School of Nursing</t>
  </si>
  <si>
    <t>OCTH - Occupational Therapy</t>
  </si>
  <si>
    <t>PEHR - Wellness and Movement Sciences</t>
  </si>
  <si>
    <t>PHHA - Public Health &amp; Health Admin</t>
  </si>
  <si>
    <t>PHTH - Physical Therapy</t>
  </si>
  <si>
    <t>ACTN - School of Accounting</t>
  </si>
  <si>
    <t>BADM - Business Admin Graduate</t>
  </si>
  <si>
    <t>BUSN - School of Business</t>
  </si>
  <si>
    <t>EDUC - School of Education</t>
  </si>
  <si>
    <t>PSYC - School of Psychology</t>
  </si>
  <si>
    <t>SOWK - School of Social Work</t>
  </si>
  <si>
    <t>BIOL - Biology</t>
  </si>
  <si>
    <t>CHBP - Chemistry/Biochem &amp; Physics</t>
  </si>
  <si>
    <t>CSEE - Electrical &amp; Comp. Engineering</t>
  </si>
  <si>
    <t>DESN - Design</t>
  </si>
  <si>
    <t>GEOS - Geosciences</t>
  </si>
  <si>
    <t>MATH - Mathematics</t>
  </si>
  <si>
    <t>MENT - Mech Engr &amp; Technology</t>
  </si>
  <si>
    <t>ARTS - Fine &amp; Performing Arts</t>
  </si>
  <si>
    <t>CMST - Communication Studies</t>
  </si>
  <si>
    <t>ECON - Economics</t>
  </si>
  <si>
    <t>ENGL - English</t>
  </si>
  <si>
    <t>HAML - Hist, Anthro, Mod. Lang &amp; Lit.</t>
  </si>
  <si>
    <t>POLI - Pol Sci, Intl Affairs &amp; Pub Ad</t>
  </si>
  <si>
    <t>PR01 - Program/Africana Education</t>
  </si>
  <si>
    <t>PR05 - Program/Chicano Education</t>
  </si>
  <si>
    <t>PR08 - Program/Amer Indian Studies</t>
  </si>
  <si>
    <t>PR11 - Program/Women's &amp; Gndr Studies</t>
  </si>
  <si>
    <t>SOCI - Sociology &amp; Criminal Justice</t>
  </si>
  <si>
    <t>AY25</t>
  </si>
  <si>
    <t>Year</t>
  </si>
  <si>
    <t>College/EWU</t>
  </si>
  <si>
    <t>Dept/School</t>
  </si>
  <si>
    <t>AYXX</t>
  </si>
  <si>
    <t>All Dept</t>
  </si>
  <si>
    <t>All Colleges</t>
  </si>
  <si>
    <t>dm</t>
  </si>
  <si>
    <t>CMSD</t>
  </si>
  <si>
    <t>DNHY</t>
  </si>
  <si>
    <t>NURS</t>
  </si>
  <si>
    <t>OCTH</t>
  </si>
  <si>
    <t>WAMS</t>
  </si>
  <si>
    <t>PHHA</t>
  </si>
  <si>
    <t>PHTH</t>
  </si>
  <si>
    <t>ACTN</t>
  </si>
  <si>
    <t>BADM</t>
  </si>
  <si>
    <t>BUSN</t>
  </si>
  <si>
    <t>EDUC</t>
  </si>
  <si>
    <t>PSYC</t>
  </si>
  <si>
    <t>SOWK</t>
  </si>
  <si>
    <t>BIOL</t>
  </si>
  <si>
    <t>CHBP</t>
  </si>
  <si>
    <t>CSEE</t>
  </si>
  <si>
    <t>DESN</t>
  </si>
  <si>
    <t>GEOS</t>
  </si>
  <si>
    <t>MATH</t>
  </si>
  <si>
    <t>MENT</t>
  </si>
  <si>
    <t>ARTS</t>
  </si>
  <si>
    <t>CMST</t>
  </si>
  <si>
    <t>ECON</t>
  </si>
  <si>
    <t>ENGL</t>
  </si>
  <si>
    <t>HAML</t>
  </si>
  <si>
    <t>POLI</t>
  </si>
  <si>
    <t>Africana</t>
  </si>
  <si>
    <t>Chicanx</t>
  </si>
  <si>
    <t>Women's &amp; Gndr Studies</t>
  </si>
  <si>
    <t>AINS</t>
  </si>
  <si>
    <t>CHIC</t>
  </si>
  <si>
    <t>AFRI</t>
  </si>
  <si>
    <t>WGSX</t>
  </si>
  <si>
    <t>SOCJ</t>
  </si>
  <si>
    <t>Comm. Sciences &amp; Disorders</t>
  </si>
  <si>
    <t>Dental Hygiene</t>
  </si>
  <si>
    <t>School of Nursing</t>
  </si>
  <si>
    <t>Occupational Therapy</t>
  </si>
  <si>
    <t>Wellness and Movement Sciences</t>
  </si>
  <si>
    <t>Public Health &amp; Health Admin</t>
  </si>
  <si>
    <t>Physical Therapy</t>
  </si>
  <si>
    <t>School of Accounting</t>
  </si>
  <si>
    <t>Business Admin Graduate</t>
  </si>
  <si>
    <t>School of Business</t>
  </si>
  <si>
    <t>School of Education</t>
  </si>
  <si>
    <t>School of Psychology</t>
  </si>
  <si>
    <t>School of Social Work</t>
  </si>
  <si>
    <t>Biology</t>
  </si>
  <si>
    <t>Chemistry/Biochem &amp; Physics</t>
  </si>
  <si>
    <t>Electrical &amp; Comp. Engineering</t>
  </si>
  <si>
    <t>Design</t>
  </si>
  <si>
    <t>Geosciences</t>
  </si>
  <si>
    <t>Mathematics</t>
  </si>
  <si>
    <t>Mech Engr &amp; Technology</t>
  </si>
  <si>
    <t>Fine &amp; Performing Arts</t>
  </si>
  <si>
    <t>Communication Studies</t>
  </si>
  <si>
    <t>Economics</t>
  </si>
  <si>
    <t>English &amp; Philosophy</t>
  </si>
  <si>
    <t>Hist, Anthro, Mod. Lang &amp; Lit.</t>
  </si>
  <si>
    <t>Pol Sci, Intl Affairs &amp; Pub Ad</t>
  </si>
  <si>
    <t>Amer Indian Studies</t>
  </si>
  <si>
    <t>Sociology &amp; Criminal Justice</t>
  </si>
  <si>
    <t>Pick Only One</t>
  </si>
  <si>
    <r>
      <t xml:space="preserve">% Inc. (no compound) </t>
    </r>
    <r>
      <rPr>
        <sz val="11"/>
        <color theme="1"/>
        <rFont val="Aptos"/>
        <family val="2"/>
        <charset val="1"/>
      </rPr>
      <t>→</t>
    </r>
  </si>
  <si>
    <t>Read Me</t>
  </si>
  <si>
    <t>R_FY25</t>
  </si>
  <si>
    <t>n trend</t>
  </si>
  <si>
    <t>1: FY23</t>
  </si>
  <si>
    <t>2: FY24</t>
  </si>
  <si>
    <t>3: FY26</t>
  </si>
  <si>
    <t>3: FY25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</si>
</sst>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409]* #,##0_);_([$$-409]* \(#,##0\);_([$$-409]* &quot;-&quot;??_);_(@_)"/>
    <numFmt numFmtId="165" formatCode="0.0"/>
    <numFmt numFmtId="166" formatCode="_(* #,##0_);_(* \(#,##0\);_(* &quot;-&quot;??_);_(@_)"/>
    <numFmt numFmtId="167" formatCode="0.0000"/>
    <numFmt numFmtId="168" formatCode="0.0%"/>
    <numFmt numFmtId="169" formatCode="&quot;$&quot;#,##0"/>
    <numFmt numFmtId="170" formatCode="&quot;$&quot;#,##0.000"/>
    <numFmt numFmtId="171" formatCode="_(* #,##0.0000_);_(* \(#,##0.0000\);_(* &quot;-&quot;??_);_(@_)"/>
  </numFmts>
  <fonts count="24" x14ac:knownFonts="1">
    <font>
      <sz val="11"/>
      <color theme="1"/>
      <name val="Calibri"/>
      <family val="2"/>
      <scheme val="minor"/>
    </font>
    <font>
      <sz val="11"/>
      <color theme="1"/>
      <name val="Calibri"/>
      <family val="2"/>
      <scheme val="minor"/>
    </font>
    <font>
      <sz val="10"/>
      <name val="Arial"/>
      <family val="2"/>
    </font>
    <font>
      <sz val="10"/>
      <color theme="1"/>
      <name val="Calibri Light"/>
      <family val="2"/>
      <scheme val="major"/>
    </font>
    <font>
      <sz val="9"/>
      <name val="Calibri Light"/>
      <family val="2"/>
      <scheme val="major"/>
    </font>
    <font>
      <sz val="9"/>
      <color theme="1"/>
      <name val="Calibri Light"/>
      <family val="2"/>
      <scheme val="major"/>
    </font>
    <font>
      <b/>
      <sz val="9"/>
      <color indexed="81"/>
      <name val="Tahoma"/>
      <family val="2"/>
    </font>
    <font>
      <sz val="9"/>
      <color rgb="FF000000"/>
      <name val="Calibri Light"/>
      <family val="2"/>
      <scheme val="major"/>
    </font>
    <font>
      <sz val="36"/>
      <color rgb="FFC00000"/>
      <name val="Calibri Light"/>
      <family val="2"/>
      <scheme val="major"/>
    </font>
    <font>
      <sz val="9"/>
      <color theme="0"/>
      <name val="Calibri Light"/>
      <family val="2"/>
      <scheme val="major"/>
    </font>
    <font>
      <sz val="11"/>
      <color theme="1"/>
      <name val="Calibri Light"/>
      <family val="2"/>
      <scheme val="major"/>
    </font>
    <font>
      <sz val="11"/>
      <color theme="0"/>
      <name val="Calibri Light"/>
      <family val="2"/>
      <scheme val="major"/>
    </font>
    <font>
      <b/>
      <sz val="9"/>
      <name val="Calibri Light"/>
      <family val="2"/>
      <scheme val="major"/>
    </font>
    <font>
      <b/>
      <sz val="9"/>
      <color rgb="FF000000"/>
      <name val="Calibri Light"/>
      <family val="2"/>
      <scheme val="major"/>
    </font>
    <font>
      <b/>
      <sz val="9"/>
      <color theme="0"/>
      <name val="Calibri Light"/>
      <family val="2"/>
      <scheme val="major"/>
    </font>
    <font>
      <sz val="11"/>
      <color theme="1"/>
      <name val="Aptos"/>
      <family val="2"/>
      <charset val="1"/>
    </font>
    <font>
      <sz val="9"/>
      <color rgb="FFC00000"/>
      <name val="Calibri Light"/>
      <family val="2"/>
      <scheme val="major"/>
    </font>
    <font>
      <sz val="16"/>
      <color theme="1"/>
      <name val="Calibri Light"/>
      <family val="2"/>
      <scheme val="major"/>
    </font>
    <font>
      <sz val="16"/>
      <color theme="1"/>
      <name val="Calibri"/>
      <family val="2"/>
      <scheme val="minor"/>
    </font>
    <font>
      <sz val="15"/>
      <color indexed="81"/>
      <name val="Calibri Light"/>
      <family val="2"/>
      <scheme val="major"/>
    </font>
    <font>
      <b/>
      <sz val="9"/>
      <color rgb="FFC00000"/>
      <name val="Calibri Light"/>
      <family val="2"/>
      <scheme val="major"/>
    </font>
    <font>
      <sz val="9"/>
      <color theme="1"/>
      <name val="Calibri"/>
      <family val="2"/>
      <scheme val="minor"/>
    </font>
    <font>
      <sz val="9"/>
      <color indexed="81"/>
      <name val="Tahoma"/>
      <family val="2"/>
    </font>
    <font>
      <sz val="11"/>
      <name val="Calibri Light"/>
      <family val="2"/>
      <scheme val="major"/>
    </font>
  </fonts>
  <fills count="14">
    <fill>
      <patternFill patternType="none"/>
    </fill>
    <fill>
      <patternFill patternType="gray125"/>
    </fill>
    <fill>
      <patternFill patternType="solid">
        <fgColor theme="8" tint="0.59999389629810485"/>
        <bgColor indexed="64"/>
      </patternFill>
    </fill>
    <fill>
      <patternFill patternType="solid">
        <fgColor theme="0" tint="-4.9989318521683403E-2"/>
        <bgColor indexed="64"/>
      </patternFill>
    </fill>
    <fill>
      <patternFill patternType="solid">
        <fgColor theme="7"/>
        <bgColor indexed="64"/>
      </patternFill>
    </fill>
    <fill>
      <patternFill patternType="solid">
        <fgColor rgb="FFCCCCFF"/>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D03B"/>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9" fontId="1" fillId="0" borderId="0" applyFont="0" applyFill="0" applyBorder="0" applyAlignment="0" applyProtection="0"/>
    <xf numFmtId="0" fontId="2" fillId="0" borderId="0"/>
    <xf numFmtId="43" fontId="1" fillId="0" borderId="0" applyFont="0" applyFill="0" applyBorder="0" applyAlignment="0" applyProtection="0"/>
  </cellStyleXfs>
  <cellXfs count="141">
    <xf numFmtId="0" fontId="0" fillId="0" borderId="0" xfId="0"/>
    <xf numFmtId="0" fontId="0" fillId="0" borderId="1" xfId="0" applyBorder="1"/>
    <xf numFmtId="1" fontId="0" fillId="0" borderId="1" xfId="0" applyNumberFormat="1" applyBorder="1"/>
    <xf numFmtId="164" fontId="0" fillId="0" borderId="1" xfId="0" applyNumberFormat="1" applyBorder="1"/>
    <xf numFmtId="165" fontId="0" fillId="0" borderId="1" xfId="0" applyNumberFormat="1" applyBorder="1"/>
    <xf numFmtId="1" fontId="0" fillId="2" borderId="1" xfId="0" applyNumberFormat="1" applyFill="1" applyBorder="1"/>
    <xf numFmtId="0" fontId="0" fillId="2" borderId="1" xfId="0" applyFill="1" applyBorder="1"/>
    <xf numFmtId="166" fontId="4" fillId="0" borderId="6" xfId="3" applyNumberFormat="1" applyFont="1" applyFill="1" applyBorder="1" applyAlignment="1" applyProtection="1">
      <alignment horizontal="center" vertical="center" wrapText="1"/>
    </xf>
    <xf numFmtId="166" fontId="4" fillId="0" borderId="0" xfId="3" applyNumberFormat="1" applyFont="1" applyFill="1" applyBorder="1" applyAlignment="1" applyProtection="1">
      <alignment horizontal="center" vertical="center" wrapText="1"/>
    </xf>
    <xf numFmtId="0" fontId="5" fillId="0" borderId="8" xfId="0" applyFont="1" applyBorder="1" applyAlignment="1">
      <alignment horizontal="center" vertical="center"/>
    </xf>
    <xf numFmtId="2" fontId="4" fillId="0" borderId="0" xfId="0" applyNumberFormat="1" applyFont="1" applyAlignment="1">
      <alignment horizontal="center" vertical="center"/>
    </xf>
    <xf numFmtId="0" fontId="5" fillId="0" borderId="7" xfId="0" applyFont="1" applyBorder="1" applyAlignment="1">
      <alignment horizontal="center" vertical="center"/>
    </xf>
    <xf numFmtId="168" fontId="5" fillId="0" borderId="8" xfId="1" applyNumberFormat="1" applyFont="1" applyBorder="1" applyAlignment="1">
      <alignment horizontal="center" vertical="center"/>
    </xf>
    <xf numFmtId="168" fontId="5" fillId="0" borderId="9" xfId="1" applyNumberFormat="1" applyFont="1" applyBorder="1" applyAlignment="1">
      <alignment horizontal="center" vertical="center"/>
    </xf>
    <xf numFmtId="0" fontId="5" fillId="11"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7" fillId="8" borderId="0" xfId="0" applyFont="1" applyFill="1" applyAlignment="1">
      <alignment horizontal="center" vertical="center"/>
    </xf>
    <xf numFmtId="0" fontId="7" fillId="9" borderId="0" xfId="0" applyFont="1" applyFill="1" applyAlignment="1">
      <alignment horizontal="center" vertical="center"/>
    </xf>
    <xf numFmtId="0" fontId="7" fillId="5" borderId="0" xfId="0" applyFont="1" applyFill="1" applyAlignment="1">
      <alignment horizontal="center" vertical="center"/>
    </xf>
    <xf numFmtId="0" fontId="7" fillId="6" borderId="0" xfId="0" applyFont="1" applyFill="1" applyAlignment="1">
      <alignment horizontal="center" vertical="center"/>
    </xf>
    <xf numFmtId="0" fontId="3" fillId="0" borderId="0" xfId="0" applyFont="1" applyAlignment="1" applyProtection="1">
      <alignment horizontal="center" vertical="center" wrapText="1"/>
      <protection locked="0"/>
    </xf>
    <xf numFmtId="0" fontId="5" fillId="0" borderId="0" xfId="0" applyFont="1" applyAlignment="1">
      <alignment horizontal="center" vertical="center"/>
    </xf>
    <xf numFmtId="0" fontId="10" fillId="0" borderId="0" xfId="0" applyFont="1" applyAlignment="1">
      <alignment horizontal="center" vertical="center"/>
    </xf>
    <xf numFmtId="0" fontId="5" fillId="3" borderId="4" xfId="0" applyFont="1" applyFill="1" applyBorder="1" applyAlignment="1">
      <alignment horizontal="center" vertical="center"/>
    </xf>
    <xf numFmtId="0" fontId="9" fillId="0" borderId="0" xfId="1" applyNumberFormat="1" applyFont="1" applyFill="1" applyBorder="1" applyAlignment="1" applyProtection="1">
      <alignment horizontal="center" vertical="center"/>
      <protection locked="0"/>
    </xf>
    <xf numFmtId="0" fontId="5" fillId="0" borderId="0" xfId="0" applyFont="1" applyAlignment="1">
      <alignment horizontal="center" vertical="center" wrapText="1"/>
    </xf>
    <xf numFmtId="0" fontId="4" fillId="0" borderId="0" xfId="0" applyFont="1" applyAlignment="1">
      <alignment horizontal="center" vertical="center"/>
    </xf>
    <xf numFmtId="0" fontId="4" fillId="0" borderId="6" xfId="0" applyFont="1" applyBorder="1" applyAlignment="1">
      <alignment horizontal="center" vertical="center"/>
    </xf>
    <xf numFmtId="10" fontId="9" fillId="0" borderId="0" xfId="1" applyNumberFormat="1" applyFont="1" applyFill="1" applyBorder="1" applyAlignment="1" applyProtection="1">
      <alignment horizontal="center" vertical="center"/>
      <protection locked="0"/>
    </xf>
    <xf numFmtId="0" fontId="5" fillId="3" borderId="0" xfId="0" applyFont="1" applyFill="1" applyAlignment="1">
      <alignment horizontal="center" vertical="center"/>
    </xf>
    <xf numFmtId="0" fontId="5" fillId="3" borderId="6" xfId="0" applyFont="1" applyFill="1" applyBorder="1" applyAlignment="1">
      <alignment horizontal="center" vertical="center"/>
    </xf>
    <xf numFmtId="49" fontId="4" fillId="0" borderId="0" xfId="0" applyNumberFormat="1" applyFont="1" applyAlignment="1">
      <alignment horizontal="center" vertical="center"/>
    </xf>
    <xf numFmtId="49" fontId="5" fillId="0" borderId="0" xfId="0" applyNumberFormat="1" applyFont="1" applyAlignment="1">
      <alignment horizontal="center" vertical="center"/>
    </xf>
    <xf numFmtId="49" fontId="4" fillId="0" borderId="6" xfId="0" applyNumberFormat="1" applyFont="1" applyBorder="1" applyAlignment="1">
      <alignment horizontal="center" vertical="center"/>
    </xf>
    <xf numFmtId="2" fontId="4" fillId="0" borderId="0" xfId="1" applyNumberFormat="1" applyFont="1" applyFill="1" applyBorder="1" applyAlignment="1" applyProtection="1">
      <alignment horizontal="center" vertical="center"/>
    </xf>
    <xf numFmtId="2" fontId="5" fillId="0" borderId="0" xfId="0" applyNumberFormat="1" applyFont="1" applyAlignment="1">
      <alignment horizontal="center" vertical="center"/>
    </xf>
    <xf numFmtId="166" fontId="4" fillId="0" borderId="0" xfId="3" applyNumberFormat="1" applyFont="1" applyBorder="1" applyAlignment="1">
      <alignment horizontal="center" vertical="center"/>
    </xf>
    <xf numFmtId="166" fontId="4" fillId="0" borderId="6" xfId="3" applyNumberFormat="1" applyFont="1" applyBorder="1" applyAlignment="1">
      <alignment horizontal="center" vertical="center"/>
    </xf>
    <xf numFmtId="49" fontId="5" fillId="0" borderId="0" xfId="1" applyNumberFormat="1" applyFont="1" applyFill="1" applyBorder="1" applyAlignment="1" applyProtection="1">
      <alignment horizontal="center" vertical="center"/>
    </xf>
    <xf numFmtId="166" fontId="5" fillId="0" borderId="0" xfId="3" applyNumberFormat="1" applyFont="1" applyBorder="1" applyAlignment="1">
      <alignment horizontal="center" vertical="center"/>
    </xf>
    <xf numFmtId="166" fontId="5" fillId="0" borderId="2" xfId="3" applyNumberFormat="1" applyFont="1" applyBorder="1" applyAlignment="1">
      <alignment horizontal="center" vertical="center"/>
    </xf>
    <xf numFmtId="166" fontId="5" fillId="0" borderId="2" xfId="3" applyNumberFormat="1" applyFont="1" applyFill="1" applyBorder="1" applyAlignment="1" applyProtection="1">
      <alignment horizontal="center" vertical="center"/>
    </xf>
    <xf numFmtId="166" fontId="4" fillId="0" borderId="2" xfId="3" applyNumberFormat="1" applyFont="1" applyBorder="1" applyAlignment="1">
      <alignment horizontal="center" vertical="center"/>
    </xf>
    <xf numFmtId="166" fontId="4" fillId="0" borderId="5" xfId="3" applyNumberFormat="1" applyFont="1" applyBorder="1" applyAlignment="1">
      <alignment horizontal="center" vertical="center"/>
    </xf>
    <xf numFmtId="2" fontId="9" fillId="0" borderId="0" xfId="1" applyNumberFormat="1" applyFont="1" applyFill="1" applyBorder="1" applyAlignment="1" applyProtection="1">
      <alignment horizontal="center" vertical="center"/>
      <protection locked="0"/>
    </xf>
    <xf numFmtId="170" fontId="5" fillId="0" borderId="0" xfId="3" applyNumberFormat="1" applyFont="1" applyFill="1" applyBorder="1" applyAlignment="1" applyProtection="1">
      <alignment horizontal="center" vertical="center"/>
    </xf>
    <xf numFmtId="169" fontId="5" fillId="0" borderId="0" xfId="3" applyNumberFormat="1" applyFont="1" applyFill="1" applyBorder="1" applyAlignment="1" applyProtection="1">
      <alignment horizontal="center" vertical="center"/>
    </xf>
    <xf numFmtId="43" fontId="10" fillId="0" borderId="0" xfId="0" applyNumberFormat="1" applyFont="1" applyAlignment="1">
      <alignment horizontal="center" vertical="center"/>
    </xf>
    <xf numFmtId="10" fontId="5" fillId="0" borderId="0" xfId="1" applyNumberFormat="1" applyFont="1" applyFill="1" applyBorder="1" applyAlignment="1" applyProtection="1">
      <alignment horizontal="center" vertical="center"/>
    </xf>
    <xf numFmtId="10" fontId="5" fillId="0" borderId="0" xfId="1" applyNumberFormat="1" applyFont="1" applyBorder="1" applyAlignment="1" applyProtection="1">
      <alignment horizontal="center" vertical="center"/>
    </xf>
    <xf numFmtId="43"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protection locked="0"/>
    </xf>
    <xf numFmtId="0" fontId="12" fillId="0" borderId="0" xfId="0" applyFont="1" applyAlignment="1">
      <alignment horizontal="center" vertical="center"/>
    </xf>
    <xf numFmtId="0" fontId="13" fillId="0" borderId="0" xfId="0" applyFont="1" applyAlignment="1">
      <alignment horizontal="center" vertical="center"/>
    </xf>
    <xf numFmtId="0" fontId="4" fillId="3" borderId="0" xfId="0" applyFont="1" applyFill="1" applyAlignment="1">
      <alignment horizontal="center" vertical="center"/>
    </xf>
    <xf numFmtId="43" fontId="4" fillId="3" borderId="0" xfId="3" applyFont="1" applyFill="1" applyBorder="1" applyAlignment="1">
      <alignment horizontal="center" vertical="center"/>
    </xf>
    <xf numFmtId="171" fontId="9" fillId="0" borderId="0" xfId="3" applyNumberFormat="1" applyFont="1" applyFill="1" applyBorder="1" applyAlignment="1">
      <alignment horizontal="center" vertical="center"/>
    </xf>
    <xf numFmtId="43" fontId="5" fillId="3" borderId="0" xfId="3" applyFont="1" applyFill="1" applyBorder="1" applyAlignment="1">
      <alignment horizontal="center" vertical="center"/>
    </xf>
    <xf numFmtId="43" fontId="12" fillId="3" borderId="0" xfId="3" applyFont="1" applyFill="1" applyBorder="1" applyAlignment="1">
      <alignment horizontal="center" vertical="center"/>
    </xf>
    <xf numFmtId="0" fontId="4" fillId="4" borderId="0" xfId="0" applyFont="1" applyFill="1" applyAlignment="1">
      <alignment horizontal="center" vertical="center"/>
    </xf>
    <xf numFmtId="43" fontId="4" fillId="4" borderId="0" xfId="3" applyFont="1" applyFill="1" applyBorder="1" applyAlignment="1">
      <alignment horizontal="center" vertical="center"/>
    </xf>
    <xf numFmtId="0" fontId="7" fillId="0" borderId="0" xfId="0" applyFont="1" applyAlignment="1">
      <alignment horizontal="center" vertical="center"/>
    </xf>
    <xf numFmtId="43" fontId="12" fillId="4" borderId="0" xfId="3" applyFont="1" applyFill="1" applyBorder="1" applyAlignment="1">
      <alignment horizontal="center" vertical="center"/>
    </xf>
    <xf numFmtId="0" fontId="4" fillId="9" borderId="0" xfId="0" applyFont="1" applyFill="1" applyAlignment="1">
      <alignment horizontal="center" vertical="center"/>
    </xf>
    <xf numFmtId="43" fontId="4" fillId="9" borderId="0" xfId="3" applyFont="1" applyFill="1" applyBorder="1" applyAlignment="1">
      <alignment horizontal="center" vertical="center"/>
    </xf>
    <xf numFmtId="43" fontId="12" fillId="9" borderId="0" xfId="3" applyFont="1" applyFill="1" applyBorder="1" applyAlignment="1">
      <alignment horizontal="center" vertical="center"/>
    </xf>
    <xf numFmtId="0" fontId="4" fillId="5" borderId="0" xfId="0" applyFont="1" applyFill="1" applyAlignment="1">
      <alignment horizontal="center" vertical="center"/>
    </xf>
    <xf numFmtId="43" fontId="4" fillId="5" borderId="0" xfId="3" applyFont="1" applyFill="1" applyBorder="1" applyAlignment="1">
      <alignment horizontal="center" vertical="center"/>
    </xf>
    <xf numFmtId="43" fontId="12" fillId="5" borderId="0" xfId="3" applyFont="1" applyFill="1" applyBorder="1" applyAlignment="1">
      <alignment horizontal="center" vertical="center"/>
    </xf>
    <xf numFmtId="0" fontId="4" fillId="6" borderId="0" xfId="0" applyFont="1" applyFill="1" applyAlignment="1">
      <alignment horizontal="center" vertical="center"/>
    </xf>
    <xf numFmtId="43" fontId="4" fillId="6" borderId="0" xfId="3" applyFont="1" applyFill="1" applyBorder="1" applyAlignment="1">
      <alignment horizontal="center" vertical="center"/>
    </xf>
    <xf numFmtId="43" fontId="12" fillId="6" borderId="0" xfId="3" applyFont="1" applyFill="1" applyBorder="1" applyAlignment="1">
      <alignment horizontal="center" vertical="center"/>
    </xf>
    <xf numFmtId="0" fontId="7" fillId="4" borderId="0" xfId="0" applyFont="1" applyFill="1" applyAlignment="1">
      <alignment horizontal="center" vertical="center"/>
    </xf>
    <xf numFmtId="0" fontId="7" fillId="7" borderId="0" xfId="0" applyFont="1" applyFill="1" applyAlignment="1">
      <alignment horizontal="center" vertical="center"/>
    </xf>
    <xf numFmtId="43" fontId="5" fillId="0" borderId="0" xfId="0" applyNumberFormat="1" applyFont="1" applyAlignment="1">
      <alignment horizontal="center" vertical="center"/>
    </xf>
    <xf numFmtId="43" fontId="5" fillId="0" borderId="0" xfId="3" applyFont="1" applyBorder="1" applyAlignment="1" applyProtection="1">
      <alignment horizontal="center" vertical="center" wrapText="1"/>
    </xf>
    <xf numFmtId="2" fontId="5" fillId="0" borderId="0" xfId="0" applyNumberFormat="1" applyFont="1" applyAlignment="1">
      <alignment horizontal="center" vertical="center" wrapText="1"/>
    </xf>
    <xf numFmtId="0" fontId="5" fillId="9" borderId="0" xfId="0" applyFont="1" applyFill="1" applyAlignment="1">
      <alignment horizontal="center" vertical="center"/>
    </xf>
    <xf numFmtId="0" fontId="5" fillId="12" borderId="0" xfId="0" applyFont="1" applyFill="1" applyAlignment="1">
      <alignment horizontal="center" vertical="center"/>
    </xf>
    <xf numFmtId="43" fontId="7" fillId="10" borderId="0" xfId="3" applyFont="1" applyFill="1" applyAlignment="1">
      <alignment horizontal="left" vertical="center"/>
    </xf>
    <xf numFmtId="43" fontId="7" fillId="7" borderId="0" xfId="3" applyFont="1" applyFill="1" applyAlignment="1">
      <alignment horizontal="left" vertical="center"/>
    </xf>
    <xf numFmtId="43" fontId="7" fillId="5" borderId="0" xfId="3" applyFont="1" applyFill="1" applyAlignment="1">
      <alignment horizontal="left" vertical="center"/>
    </xf>
    <xf numFmtId="43" fontId="7" fillId="6" borderId="0" xfId="3" applyFont="1" applyFill="1" applyAlignment="1">
      <alignment horizontal="left" vertical="center"/>
    </xf>
    <xf numFmtId="0" fontId="5" fillId="0" borderId="0" xfId="0" applyFont="1" applyAlignment="1">
      <alignment horizontal="left" vertical="center"/>
    </xf>
    <xf numFmtId="43" fontId="5" fillId="0" borderId="0" xfId="3" applyFont="1" applyFill="1" applyAlignment="1" applyProtection="1">
      <alignment horizontal="center" vertical="center"/>
    </xf>
    <xf numFmtId="2" fontId="5" fillId="0" borderId="9" xfId="0" applyNumberFormat="1" applyFont="1" applyBorder="1" applyAlignment="1" applyProtection="1">
      <alignment horizontal="center" vertical="center"/>
      <protection locked="0"/>
    </xf>
    <xf numFmtId="0" fontId="14" fillId="13" borderId="0" xfId="0" applyFont="1" applyFill="1" applyAlignment="1">
      <alignment horizontal="left" vertical="center"/>
    </xf>
    <xf numFmtId="43" fontId="7" fillId="0" borderId="0" xfId="3" applyFont="1" applyFill="1" applyBorder="1" applyAlignment="1" applyProtection="1">
      <alignment horizontal="center" vertical="center"/>
    </xf>
    <xf numFmtId="43" fontId="5" fillId="0" borderId="0" xfId="3" applyFont="1" applyFill="1" applyBorder="1" applyAlignment="1" applyProtection="1">
      <alignment horizontal="center" vertical="center"/>
    </xf>
    <xf numFmtId="0" fontId="10" fillId="0" borderId="0" xfId="0" applyFont="1" applyAlignment="1">
      <alignment horizontal="left" vertical="center"/>
    </xf>
    <xf numFmtId="0" fontId="9" fillId="0" borderId="0" xfId="0" applyFont="1" applyAlignment="1" applyProtection="1">
      <alignment horizontal="center" vertical="center"/>
      <protection locked="0"/>
    </xf>
    <xf numFmtId="43" fontId="9" fillId="0" borderId="0" xfId="0" applyNumberFormat="1" applyFont="1" applyAlignment="1" applyProtection="1">
      <alignment horizontal="center" vertical="center"/>
      <protection locked="0"/>
    </xf>
    <xf numFmtId="165" fontId="9" fillId="0" borderId="0" xfId="0" applyNumberFormat="1" applyFont="1" applyAlignment="1" applyProtection="1">
      <alignment horizontal="center" vertical="center"/>
      <protection locked="0"/>
    </xf>
    <xf numFmtId="167" fontId="9" fillId="0" borderId="0" xfId="0" applyNumberFormat="1" applyFont="1" applyAlignment="1" applyProtection="1">
      <alignment horizontal="center" vertical="center"/>
      <protection locked="0"/>
    </xf>
    <xf numFmtId="1" fontId="9" fillId="0" borderId="0" xfId="0" applyNumberFormat="1" applyFont="1" applyAlignment="1" applyProtection="1">
      <alignment horizontal="center" vertical="center"/>
      <protection locked="0"/>
    </xf>
    <xf numFmtId="166" fontId="9" fillId="0" borderId="0" xfId="0" applyNumberFormat="1" applyFont="1" applyAlignment="1" applyProtection="1">
      <alignment horizontal="center" vertical="center"/>
      <protection locked="0"/>
    </xf>
    <xf numFmtId="0" fontId="11" fillId="0" borderId="0" xfId="0" applyFont="1" applyAlignment="1">
      <alignment horizontal="center" vertical="center"/>
    </xf>
    <xf numFmtId="0" fontId="14" fillId="0" borderId="0" xfId="0" applyFont="1" applyAlignment="1">
      <alignment horizontal="center" vertical="center"/>
    </xf>
    <xf numFmtId="2" fontId="9" fillId="0" borderId="0" xfId="0" applyNumberFormat="1" applyFont="1" applyAlignment="1" applyProtection="1">
      <alignment horizontal="center" vertical="center"/>
      <protection locked="0"/>
    </xf>
    <xf numFmtId="43" fontId="16" fillId="0" borderId="0" xfId="3" applyFont="1" applyFill="1" applyBorder="1" applyAlignment="1" applyProtection="1">
      <alignment horizontal="center" vertical="center"/>
      <protection locked="0"/>
    </xf>
    <xf numFmtId="43" fontId="16" fillId="0" borderId="0" xfId="3" applyFont="1" applyFill="1" applyAlignment="1" applyProtection="1">
      <alignment horizontal="center" vertical="center"/>
      <protection locked="0"/>
    </xf>
    <xf numFmtId="168" fontId="16" fillId="0" borderId="0" xfId="1" applyNumberFormat="1" applyFont="1" applyAlignment="1" applyProtection="1">
      <alignment horizontal="center" vertical="center"/>
      <protection locked="0"/>
    </xf>
    <xf numFmtId="43" fontId="20" fillId="0" borderId="0" xfId="3" applyFont="1" applyBorder="1" applyAlignment="1" applyProtection="1">
      <alignment horizontal="center" vertical="center" wrapText="1"/>
      <protection locked="0"/>
    </xf>
    <xf numFmtId="2" fontId="20" fillId="0" borderId="0" xfId="0" applyNumberFormat="1" applyFont="1" applyAlignment="1" applyProtection="1">
      <alignment horizontal="center" vertical="center"/>
      <protection locked="0"/>
    </xf>
    <xf numFmtId="2" fontId="5" fillId="0" borderId="9" xfId="0" applyNumberFormat="1" applyFont="1" applyBorder="1" applyAlignment="1">
      <alignment horizontal="center" vertical="center"/>
    </xf>
    <xf numFmtId="2" fontId="21" fillId="0" borderId="0" xfId="0" applyNumberFormat="1" applyFont="1"/>
    <xf numFmtId="0" fontId="7" fillId="8" borderId="0" xfId="0" applyFont="1" applyFill="1" applyAlignment="1">
      <alignment horizontal="left" vertical="center"/>
    </xf>
    <xf numFmtId="0" fontId="7" fillId="9" borderId="0" xfId="0" applyFont="1" applyFill="1" applyAlignment="1">
      <alignment horizontal="left" vertical="center"/>
    </xf>
    <xf numFmtId="0" fontId="7" fillId="5" borderId="0" xfId="0" applyFont="1" applyFill="1" applyAlignment="1">
      <alignment horizontal="left" vertical="center"/>
    </xf>
    <xf numFmtId="0" fontId="7" fillId="6" borderId="0" xfId="0" applyFont="1" applyFill="1" applyAlignment="1">
      <alignment horizontal="left" vertical="center"/>
    </xf>
    <xf numFmtId="0" fontId="5" fillId="3" borderId="0" xfId="0" applyFont="1" applyFill="1" applyAlignment="1">
      <alignment horizontal="left" vertical="center"/>
    </xf>
    <xf numFmtId="0" fontId="5" fillId="0" borderId="6" xfId="0" applyFont="1" applyBorder="1" applyAlignment="1">
      <alignment horizontal="center" vertical="center"/>
    </xf>
    <xf numFmtId="166" fontId="5" fillId="0" borderId="6" xfId="3" applyNumberFormat="1" applyFont="1" applyFill="1" applyBorder="1" applyAlignment="1" applyProtection="1">
      <alignment horizontal="center" vertical="center" wrapText="1"/>
    </xf>
    <xf numFmtId="49" fontId="5" fillId="0" borderId="6" xfId="0" applyNumberFormat="1" applyFont="1" applyBorder="1" applyAlignment="1">
      <alignment horizontal="center" vertical="center"/>
    </xf>
    <xf numFmtId="166" fontId="5" fillId="0" borderId="6" xfId="3" applyNumberFormat="1" applyFont="1" applyBorder="1" applyAlignment="1">
      <alignment horizontal="center" vertical="center"/>
    </xf>
    <xf numFmtId="166" fontId="5" fillId="0" borderId="5" xfId="3" applyNumberFormat="1" applyFont="1" applyBorder="1" applyAlignment="1">
      <alignment horizontal="center" vertical="center"/>
    </xf>
    <xf numFmtId="1" fontId="4" fillId="13" borderId="0" xfId="0" applyNumberFormat="1" applyFont="1" applyFill="1" applyAlignment="1">
      <alignment horizontal="left" vertical="center"/>
    </xf>
    <xf numFmtId="0" fontId="23" fillId="0" borderId="0" xfId="0" applyFont="1" applyAlignment="1">
      <alignment horizontal="center" vertical="center"/>
    </xf>
    <xf numFmtId="1" fontId="4" fillId="11" borderId="0" xfId="0" applyNumberFormat="1" applyFont="1" applyFill="1" applyAlignment="1" applyProtection="1">
      <alignment horizontal="center" vertical="center"/>
      <protection locked="0"/>
    </xf>
    <xf numFmtId="1" fontId="4" fillId="12" borderId="0" xfId="0" applyNumberFormat="1" applyFont="1" applyFill="1" applyAlignment="1" applyProtection="1">
      <alignment horizontal="center" vertical="center"/>
      <protection locked="0"/>
    </xf>
    <xf numFmtId="1" fontId="4" fillId="9" borderId="0" xfId="0" applyNumberFormat="1" applyFont="1" applyFill="1" applyAlignment="1" applyProtection="1">
      <alignment horizontal="center" vertical="center"/>
      <protection locked="0"/>
    </xf>
    <xf numFmtId="1" fontId="4" fillId="5" borderId="0" xfId="0" applyNumberFormat="1" applyFont="1" applyFill="1" applyAlignment="1" applyProtection="1">
      <alignment horizontal="center" vertical="center"/>
      <protection locked="0"/>
    </xf>
    <xf numFmtId="1" fontId="4" fillId="6" borderId="0" xfId="0" applyNumberFormat="1" applyFont="1" applyFill="1" applyAlignment="1" applyProtection="1">
      <alignment horizontal="center" vertical="center"/>
      <protection locked="0"/>
    </xf>
    <xf numFmtId="1" fontId="4" fillId="8" borderId="0" xfId="0" applyNumberFormat="1" applyFont="1" applyFill="1" applyAlignment="1" applyProtection="1">
      <alignment horizontal="center" vertical="center"/>
      <protection locked="0"/>
    </xf>
    <xf numFmtId="1" fontId="4" fillId="0" borderId="0" xfId="0" applyNumberFormat="1" applyFont="1" applyAlignment="1">
      <alignment horizontal="center" vertical="center"/>
    </xf>
    <xf numFmtId="168" fontId="4" fillId="0" borderId="0" xfId="1" applyNumberFormat="1" applyFont="1" applyAlignment="1">
      <alignment horizontal="center" vertical="center"/>
    </xf>
    <xf numFmtId="0" fontId="17"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0" fontId="8" fillId="0" borderId="3"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vertical="center"/>
    </xf>
    <xf numFmtId="0" fontId="5" fillId="3" borderId="3" xfId="0" applyFont="1" applyFill="1" applyBorder="1" applyAlignment="1">
      <alignment horizontal="center" vertical="center"/>
    </xf>
    <xf numFmtId="43" fontId="12" fillId="0" borderId="0" xfId="3" applyFont="1" applyBorder="1" applyAlignment="1" applyProtection="1">
      <alignment horizontal="center" vertical="center" wrapText="1"/>
      <protection locked="0"/>
    </xf>
    <xf numFmtId="43" fontId="12" fillId="0" borderId="0" xfId="0" applyNumberFormat="1" applyFont="1" applyAlignment="1">
      <alignment horizontal="center" vertical="center"/>
    </xf>
    <xf numFmtId="2" fontId="4" fillId="0" borderId="0" xfId="0" applyNumberFormat="1" applyFont="1" applyAlignment="1" applyProtection="1">
      <alignment horizontal="center" vertical="center"/>
      <protection locked="0"/>
    </xf>
  </cellXfs>
  <cellStyles count="4">
    <cellStyle name="Comma" xfId="3" builtinId="3"/>
    <cellStyle name="Normal" xfId="0" builtinId="0"/>
    <cellStyle name="Normal 2" xfId="2" xr:uid="{49607C11-58FE-47F3-BC30-7D154ED497AC}"/>
    <cellStyle name="Percent" xfId="1" builtinId="5"/>
  </cellStyles>
  <dxfs count="0"/>
  <tableStyles count="0" defaultTableStyle="TableStyleMedium2" defaultPivotStyle="PivotStyleLight16"/>
  <colors>
    <mruColors>
      <color rgb="FFCCCCFF"/>
      <color rgb="FFFFFF00"/>
      <color rgb="FF00FF00"/>
      <color rgb="FF0066FF"/>
      <color rgb="FFFF6600"/>
      <color rgb="FFFF5050"/>
      <color rgb="FFCCCC00"/>
      <color rgb="FFF2F0F4"/>
      <color rgb="FF9966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900" b="1">
                <a:solidFill>
                  <a:sysClr val="windowText" lastClr="000000"/>
                </a:solidFill>
              </a:rPr>
              <a:t>Contribution Margin</a:t>
            </a:r>
            <a:r>
              <a:rPr lang="en-US" sz="900" b="1" baseline="0">
                <a:solidFill>
                  <a:sysClr val="windowText" lastClr="000000"/>
                </a:solidFill>
              </a:rPr>
              <a:t> </a:t>
            </a:r>
            <a:r>
              <a:rPr lang="en-US" sz="900" b="1">
                <a:solidFill>
                  <a:sysClr val="windowText" lastClr="000000"/>
                </a:solidFill>
              </a:rPr>
              <a:t>Design Space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Sandbox!$L$5</c:f>
              <c:strCache>
                <c:ptCount val="1"/>
                <c:pt idx="0">
                  <c:v>Left</c:v>
                </c:pt>
              </c:strCache>
            </c:strRef>
          </c:tx>
          <c:spPr>
            <a:ln w="19050" cap="rnd">
              <a:solidFill>
                <a:schemeClr val="tx1"/>
              </a:solidFill>
              <a:round/>
            </a:ln>
            <a:effectLst/>
          </c:spPr>
          <c:marker>
            <c:symbol val="none"/>
          </c:marker>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Sandbox!$L$6:$L$19</c:f>
              <c:numCache>
                <c:formatCode>_(* #,##0.00_);_(* \(#,##0.00\);_(* "-"??_);_(@_)</c:formatCode>
                <c:ptCount val="14"/>
                <c:pt idx="0">
                  <c:v>32.728995728479902</c:v>
                </c:pt>
                <c:pt idx="1">
                  <c:v>92.016000000000005</c:v>
                </c:pt>
              </c:numCache>
            </c:numRef>
          </c:yVal>
          <c:smooth val="0"/>
          <c:extLst>
            <c:ext xmlns:c16="http://schemas.microsoft.com/office/drawing/2014/chart" uri="{C3380CC4-5D6E-409C-BE32-E72D297353CC}">
              <c16:uniqueId val="{00000000-0A3C-472A-B0A2-2EBF8B87265F}"/>
            </c:ext>
          </c:extLst>
        </c:ser>
        <c:ser>
          <c:idx val="1"/>
          <c:order val="1"/>
          <c:tx>
            <c:strRef>
              <c:f>Sandbox!$M$5</c:f>
              <c:strCache>
                <c:ptCount val="1"/>
                <c:pt idx="0">
                  <c:v>Right</c:v>
                </c:pt>
              </c:strCache>
            </c:strRef>
          </c:tx>
          <c:spPr>
            <a:ln w="19050" cap="rnd">
              <a:solidFill>
                <a:schemeClr val="tx1"/>
              </a:solidFill>
              <a:round/>
            </a:ln>
            <a:effectLst/>
          </c:spPr>
          <c:marker>
            <c:symbol val="none"/>
          </c:marker>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Sandbox!$M$6:$M$19</c:f>
              <c:numCache>
                <c:formatCode>General</c:formatCode>
                <c:ptCount val="14"/>
                <c:pt idx="2">
                  <c:v>0</c:v>
                </c:pt>
                <c:pt idx="3">
                  <c:v>48.907113031059666</c:v>
                </c:pt>
                <c:pt idx="4">
                  <c:v>137.5</c:v>
                </c:pt>
              </c:numCache>
            </c:numRef>
          </c:yVal>
          <c:smooth val="0"/>
          <c:extLst>
            <c:ext xmlns:c16="http://schemas.microsoft.com/office/drawing/2014/chart" uri="{C3380CC4-5D6E-409C-BE32-E72D297353CC}">
              <c16:uniqueId val="{00000001-0A3C-472A-B0A2-2EBF8B87265F}"/>
            </c:ext>
          </c:extLst>
        </c:ser>
        <c:ser>
          <c:idx val="2"/>
          <c:order val="2"/>
          <c:tx>
            <c:strRef>
              <c:f>Sandbox!$N$5</c:f>
              <c:strCache>
                <c:ptCount val="1"/>
                <c:pt idx="0">
                  <c:v>Bottom</c:v>
                </c:pt>
              </c:strCache>
            </c:strRef>
          </c:tx>
          <c:spPr>
            <a:ln w="19050" cap="rnd">
              <a:solidFill>
                <a:schemeClr val="tx1"/>
              </a:solidFill>
              <a:round/>
            </a:ln>
            <a:effectLst/>
          </c:spPr>
          <c:marker>
            <c:symbol val="none"/>
          </c:marker>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Sandbox!$N$6:$N$19</c:f>
              <c:numCache>
                <c:formatCode>General</c:formatCode>
                <c:ptCount val="14"/>
                <c:pt idx="5" formatCode="_(* #,##0.00_);_(* \(#,##0.00\);_(* &quot;-&quot;??_);_(@_)">
                  <c:v>32.728995728479902</c:v>
                </c:pt>
                <c:pt idx="6" formatCode="_(* #,##0.00_);_(* \(#,##0.00\);_(* &quot;-&quot;??_);_(@_)">
                  <c:v>48.907113031059666</c:v>
                </c:pt>
              </c:numCache>
            </c:numRef>
          </c:yVal>
          <c:smooth val="0"/>
          <c:extLst>
            <c:ext xmlns:c16="http://schemas.microsoft.com/office/drawing/2014/chart" uri="{C3380CC4-5D6E-409C-BE32-E72D297353CC}">
              <c16:uniqueId val="{00000002-0A3C-472A-B0A2-2EBF8B87265F}"/>
            </c:ext>
          </c:extLst>
        </c:ser>
        <c:ser>
          <c:idx val="3"/>
          <c:order val="3"/>
          <c:tx>
            <c:strRef>
              <c:f>Sandbox!$O$5</c:f>
              <c:strCache>
                <c:ptCount val="1"/>
                <c:pt idx="0">
                  <c:v>top</c:v>
                </c:pt>
              </c:strCache>
            </c:strRef>
          </c:tx>
          <c:spPr>
            <a:ln w="19050" cap="rnd">
              <a:solidFill>
                <a:schemeClr val="tx1"/>
              </a:solidFill>
              <a:round/>
            </a:ln>
            <a:effectLst/>
          </c:spPr>
          <c:marker>
            <c:symbol val="none"/>
          </c:marker>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Sandbox!$O$6:$O$19</c:f>
              <c:numCache>
                <c:formatCode>General</c:formatCode>
                <c:ptCount val="14"/>
                <c:pt idx="8">
                  <c:v>92.016000000000005</c:v>
                </c:pt>
                <c:pt idx="9">
                  <c:v>137.5</c:v>
                </c:pt>
              </c:numCache>
            </c:numRef>
          </c:yVal>
          <c:smooth val="0"/>
          <c:extLst>
            <c:ext xmlns:c16="http://schemas.microsoft.com/office/drawing/2014/chart" uri="{C3380CC4-5D6E-409C-BE32-E72D297353CC}">
              <c16:uniqueId val="{00000003-0A3C-472A-B0A2-2EBF8B87265F}"/>
            </c:ext>
          </c:extLst>
        </c:ser>
        <c:ser>
          <c:idx val="4"/>
          <c:order val="4"/>
          <c:tx>
            <c:strRef>
              <c:f>Sandbox!$P$5</c:f>
              <c:strCache>
                <c:ptCount val="1"/>
                <c:pt idx="0">
                  <c:v>1 to 2</c:v>
                </c:pt>
              </c:strCache>
            </c:strRef>
          </c:tx>
          <c:spPr>
            <a:ln w="19050" cap="rnd">
              <a:solidFill>
                <a:schemeClr val="tx1"/>
              </a:solidFill>
              <a:round/>
              <a:tailEnd type="triangle" w="med" len="med"/>
            </a:ln>
            <a:effectLst/>
          </c:spPr>
          <c:marker>
            <c:symbol val="none"/>
          </c:marker>
          <c:dPt>
            <c:idx val="11"/>
            <c:marker>
              <c:symbol val="none"/>
            </c:marker>
            <c:bubble3D val="0"/>
            <c:spPr>
              <a:ln w="12700" cap="rnd">
                <a:solidFill>
                  <a:schemeClr val="tx1"/>
                </a:solidFill>
                <a:round/>
                <a:tailEnd type="triangle" w="med" len="med"/>
              </a:ln>
              <a:effectLst/>
            </c:spPr>
          </c:dPt>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Sandbox!$P$6:$P$19</c:f>
              <c:numCache>
                <c:formatCode>General</c:formatCode>
                <c:ptCount val="14"/>
                <c:pt idx="10" formatCode="0.0">
                  <c:v>118.82</c:v>
                </c:pt>
                <c:pt idx="11" formatCode="0.0">
                  <c:v>77.22</c:v>
                </c:pt>
              </c:numCache>
            </c:numRef>
          </c:yVal>
          <c:smooth val="0"/>
          <c:extLst>
            <c:ext xmlns:c16="http://schemas.microsoft.com/office/drawing/2014/chart" uri="{C3380CC4-5D6E-409C-BE32-E72D297353CC}">
              <c16:uniqueId val="{00000006-0A3C-472A-B0A2-2EBF8B87265F}"/>
            </c:ext>
          </c:extLst>
        </c:ser>
        <c:ser>
          <c:idx val="5"/>
          <c:order val="5"/>
          <c:tx>
            <c:strRef>
              <c:f>Sandbox!$Q$5</c:f>
              <c:strCache>
                <c:ptCount val="1"/>
                <c:pt idx="0">
                  <c:v>2 to 3</c:v>
                </c:pt>
              </c:strCache>
            </c:strRef>
          </c:tx>
          <c:spPr>
            <a:ln w="19050" cap="rnd">
              <a:solidFill>
                <a:schemeClr val="tx1"/>
              </a:solidFill>
              <a:round/>
              <a:tailEnd type="triangle" w="med" len="med"/>
            </a:ln>
            <a:effectLst/>
          </c:spPr>
          <c:marker>
            <c:symbol val="none"/>
          </c:marker>
          <c:dPt>
            <c:idx val="13"/>
            <c:marker>
              <c:symbol val="none"/>
            </c:marker>
            <c:bubble3D val="0"/>
            <c:spPr>
              <a:ln w="12700" cap="rnd">
                <a:solidFill>
                  <a:schemeClr val="tx1"/>
                </a:solidFill>
                <a:round/>
                <a:tailEnd type="triangle" w="med" len="med"/>
              </a:ln>
              <a:effectLst/>
            </c:spPr>
          </c:dPt>
          <c:xVal>
            <c:numRef>
              <c:f>Sandbox!$K$6:$K$19</c:f>
              <c:numCache>
                <c:formatCode>General</c:formatCode>
                <c:ptCount val="14"/>
                <c:pt idx="0">
                  <c:v>7.6680000000000001</c:v>
                </c:pt>
                <c:pt idx="1">
                  <c:v>7.6680000000000001</c:v>
                </c:pt>
                <c:pt idx="2">
                  <c:v>7.6680000000000001</c:v>
                </c:pt>
                <c:pt idx="3">
                  <c:v>11.458333333333334</c:v>
                </c:pt>
                <c:pt idx="4">
                  <c:v>11.458333333333334</c:v>
                </c:pt>
                <c:pt idx="5">
                  <c:v>7.6680000000000001</c:v>
                </c:pt>
                <c:pt idx="6">
                  <c:v>11.458333333333334</c:v>
                </c:pt>
                <c:pt idx="8">
                  <c:v>7.6680000000000001</c:v>
                </c:pt>
                <c:pt idx="9">
                  <c:v>11.458333333333334</c:v>
                </c:pt>
                <c:pt idx="10" formatCode="0.0">
                  <c:v>10.41</c:v>
                </c:pt>
                <c:pt idx="11" formatCode="0.0">
                  <c:v>8.52</c:v>
                </c:pt>
                <c:pt idx="12" formatCode="0.0">
                  <c:v>8.52</c:v>
                </c:pt>
                <c:pt idx="13" formatCode="0.0000">
                  <c:v>10.416666666666666</c:v>
                </c:pt>
              </c:numCache>
            </c:numRef>
          </c:xVal>
          <c:yVal>
            <c:numRef>
              <c:f>Sandbox!$Q$6:$Q$19</c:f>
              <c:numCache>
                <c:formatCode>0.00%</c:formatCode>
                <c:ptCount val="14"/>
                <c:pt idx="12" formatCode="0.00">
                  <c:v>77.22</c:v>
                </c:pt>
                <c:pt idx="13" formatCode="0.00">
                  <c:v>125</c:v>
                </c:pt>
              </c:numCache>
            </c:numRef>
          </c:yVal>
          <c:smooth val="0"/>
          <c:extLst>
            <c:ext xmlns:c16="http://schemas.microsoft.com/office/drawing/2014/chart" uri="{C3380CC4-5D6E-409C-BE32-E72D297353CC}">
              <c16:uniqueId val="{00000009-0A3C-472A-B0A2-2EBF8B87265F}"/>
            </c:ext>
          </c:extLst>
        </c:ser>
        <c:dLbls>
          <c:showLegendKey val="0"/>
          <c:showVal val="0"/>
          <c:showCatName val="0"/>
          <c:showSerName val="0"/>
          <c:showPercent val="0"/>
          <c:showBubbleSize val="0"/>
        </c:dLbls>
        <c:axId val="493636000"/>
        <c:axId val="493635520"/>
      </c:scatterChart>
      <c:valAx>
        <c:axId val="4936360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r>
                  <a:rPr lang="en-US" b="0"/>
                  <a:t>Faculty (FTEF)</a:t>
                </a:r>
                <a:endParaRPr lang="en-US" sz="800" b="0" i="0" u="none" strike="noStrike" kern="1200" spc="0" baseline="0">
                  <a:solidFill>
                    <a:sysClr val="windowText" lastClr="000000"/>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3635520"/>
        <c:crosses val="autoZero"/>
        <c:crossBetween val="midCat"/>
      </c:valAx>
      <c:valAx>
        <c:axId val="493635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5400000" spcFirstLastPara="1" vertOverflow="ellipsis" vert="horz" wrap="square" anchor="ctr" anchorCtr="1"/>
              <a:lstStyle/>
              <a:p>
                <a:pPr algn="ctr">
                  <a:defRPr sz="1000" b="0" i="0" u="none" strike="noStrike" kern="1200" baseline="0">
                    <a:solidFill>
                      <a:schemeClr val="tx1"/>
                    </a:solidFill>
                    <a:latin typeface="+mn-lt"/>
                    <a:ea typeface="+mn-ea"/>
                    <a:cs typeface="+mn-cs"/>
                  </a:defRPr>
                </a:pPr>
                <a:r>
                  <a:rPr lang="en-US"/>
                  <a:t>Students (FTES)</a:t>
                </a:r>
              </a:p>
            </c:rich>
          </c:tx>
          <c:layout>
            <c:manualLayout>
              <c:xMode val="edge"/>
              <c:yMode val="edge"/>
              <c:x val="3.4255052982731557E-2"/>
              <c:y val="0.2966232343359681"/>
            </c:manualLayout>
          </c:layout>
          <c:overlay val="0"/>
          <c:spPr>
            <a:noFill/>
            <a:ln>
              <a:noFill/>
            </a:ln>
            <a:effectLst/>
          </c:spPr>
          <c:txPr>
            <a:bodyPr rot="-5400000" spcFirstLastPara="1" vertOverflow="ellipsis" vert="horz" wrap="square" anchor="ctr" anchorCtr="1"/>
            <a:lstStyle/>
            <a:p>
              <a:pPr algn="ctr">
                <a:defRPr sz="1000" b="0" i="0" u="none" strike="noStrike" kern="1200" baseline="0">
                  <a:solidFill>
                    <a:schemeClr val="tx1"/>
                  </a:solidFill>
                  <a:latin typeface="+mn-lt"/>
                  <a:ea typeface="+mn-ea"/>
                  <a:cs typeface="+mn-cs"/>
                </a:defRPr>
              </a:pPr>
              <a:endParaRPr lang="en-US"/>
            </a:p>
          </c:txPr>
        </c:title>
        <c:numFmt formatCode="_(* #,##0_);_(* \(#,##0\);_(*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363600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587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900" b="1">
                <a:solidFill>
                  <a:sysClr val="windowText" lastClr="000000"/>
                </a:solidFill>
              </a:rPr>
              <a:t>Contribution Margin Trend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Sandbox!$P$28</c:f>
              <c:strCache>
                <c:ptCount val="1"/>
                <c:pt idx="0">
                  <c:v>A</c:v>
                </c:pt>
              </c:strCache>
            </c:strRef>
          </c:tx>
          <c:spPr>
            <a:ln w="19050" cap="rnd">
              <a:solidFill>
                <a:schemeClr val="accent1"/>
              </a:solidFill>
              <a:round/>
            </a:ln>
            <a:effectLst/>
          </c:spPr>
          <c:marker>
            <c:symbol val="none"/>
          </c:marker>
          <c:dPt>
            <c:idx val="1"/>
            <c:marker>
              <c:symbol val="none"/>
            </c:marker>
            <c:bubble3D val="0"/>
            <c:spPr>
              <a:ln w="19050" cap="rnd">
                <a:solidFill>
                  <a:schemeClr val="tx1"/>
                </a:solidFill>
                <a:round/>
                <a:tailEnd type="triangle"/>
              </a:ln>
              <a:effectLst/>
            </c:spPr>
            <c:extLst>
              <c:ext xmlns:c16="http://schemas.microsoft.com/office/drawing/2014/chart" uri="{C3380CC4-5D6E-409C-BE32-E72D297353CC}">
                <c16:uniqueId val="{00000001-88AA-4D63-B31D-486542058D61}"/>
              </c:ext>
            </c:extLst>
          </c:dPt>
          <c:xVal>
            <c:numRef>
              <c:f>Sandbox!$O$29:$O$32</c:f>
              <c:numCache>
                <c:formatCode>General</c:formatCode>
                <c:ptCount val="4"/>
                <c:pt idx="0">
                  <c:v>1</c:v>
                </c:pt>
                <c:pt idx="1">
                  <c:v>2</c:v>
                </c:pt>
                <c:pt idx="2">
                  <c:v>2</c:v>
                </c:pt>
                <c:pt idx="3">
                  <c:v>3</c:v>
                </c:pt>
              </c:numCache>
            </c:numRef>
          </c:xVal>
          <c:yVal>
            <c:numRef>
              <c:f>Sandbox!$P$29:$P$32</c:f>
              <c:numCache>
                <c:formatCode>_(* #,##0_);_(* \(#,##0\);_(* "-"??_);_(@_)</c:formatCode>
                <c:ptCount val="4"/>
                <c:pt idx="0">
                  <c:v>1512216.001313485</c:v>
                </c:pt>
                <c:pt idx="1">
                  <c:v>791667.80976158939</c:v>
                </c:pt>
              </c:numCache>
            </c:numRef>
          </c:yVal>
          <c:smooth val="0"/>
          <c:extLst>
            <c:ext xmlns:c16="http://schemas.microsoft.com/office/drawing/2014/chart" uri="{C3380CC4-5D6E-409C-BE32-E72D297353CC}">
              <c16:uniqueId val="{00000002-88AA-4D63-B31D-486542058D61}"/>
            </c:ext>
          </c:extLst>
        </c:ser>
        <c:ser>
          <c:idx val="1"/>
          <c:order val="1"/>
          <c:tx>
            <c:strRef>
              <c:f>Sandbox!$Q$28</c:f>
              <c:strCache>
                <c:ptCount val="1"/>
                <c:pt idx="0">
                  <c:v>B</c:v>
                </c:pt>
              </c:strCache>
            </c:strRef>
          </c:tx>
          <c:spPr>
            <a:ln w="19050" cap="rnd">
              <a:solidFill>
                <a:schemeClr val="accent2"/>
              </a:solidFill>
              <a:round/>
            </a:ln>
            <a:effectLst/>
          </c:spPr>
          <c:marker>
            <c:symbol val="none"/>
          </c:marker>
          <c:dPt>
            <c:idx val="3"/>
            <c:marker>
              <c:symbol val="none"/>
            </c:marker>
            <c:bubble3D val="0"/>
            <c:spPr>
              <a:ln w="19050" cap="rnd">
                <a:solidFill>
                  <a:schemeClr val="tx1"/>
                </a:solidFill>
                <a:round/>
                <a:tailEnd type="triangle"/>
              </a:ln>
              <a:effectLst/>
            </c:spPr>
            <c:extLst>
              <c:ext xmlns:c16="http://schemas.microsoft.com/office/drawing/2014/chart" uri="{C3380CC4-5D6E-409C-BE32-E72D297353CC}">
                <c16:uniqueId val="{00000004-88AA-4D63-B31D-486542058D61}"/>
              </c:ext>
            </c:extLst>
          </c:dPt>
          <c:xVal>
            <c:numRef>
              <c:f>Sandbox!$O$29:$O$32</c:f>
              <c:numCache>
                <c:formatCode>General</c:formatCode>
                <c:ptCount val="4"/>
                <c:pt idx="0">
                  <c:v>1</c:v>
                </c:pt>
                <c:pt idx="1">
                  <c:v>2</c:v>
                </c:pt>
                <c:pt idx="2">
                  <c:v>2</c:v>
                </c:pt>
                <c:pt idx="3">
                  <c:v>3</c:v>
                </c:pt>
              </c:numCache>
            </c:numRef>
          </c:xVal>
          <c:yVal>
            <c:numRef>
              <c:f>Sandbox!$Q$29:$Q$32</c:f>
              <c:numCache>
                <c:formatCode>General</c:formatCode>
                <c:ptCount val="4"/>
                <c:pt idx="2" formatCode="_(* #,##0_);_(* \(#,##0\);_(* &quot;-&quot;??_);_(@_)">
                  <c:v>791667.80976158939</c:v>
                </c:pt>
                <c:pt idx="3" formatCode="_(* #,##0_);_(* \(#,##0\);_(* &quot;-&quot;??_);_(@_)">
                  <c:v>1540428.6197916667</c:v>
                </c:pt>
              </c:numCache>
            </c:numRef>
          </c:yVal>
          <c:smooth val="0"/>
          <c:extLst>
            <c:ext xmlns:c16="http://schemas.microsoft.com/office/drawing/2014/chart" uri="{C3380CC4-5D6E-409C-BE32-E72D297353CC}">
              <c16:uniqueId val="{00000005-88AA-4D63-B31D-486542058D61}"/>
            </c:ext>
          </c:extLst>
        </c:ser>
        <c:dLbls>
          <c:showLegendKey val="0"/>
          <c:showVal val="0"/>
          <c:showCatName val="0"/>
          <c:showSerName val="0"/>
          <c:showPercent val="0"/>
          <c:showBubbleSize val="0"/>
        </c:dLbls>
        <c:axId val="1777697792"/>
        <c:axId val="1777698272"/>
      </c:scatterChart>
      <c:valAx>
        <c:axId val="1777697792"/>
        <c:scaling>
          <c:orientation val="minMax"/>
          <c:max val="3"/>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77698272"/>
        <c:crosses val="autoZero"/>
        <c:crossBetween val="midCat"/>
        <c:majorUnit val="1"/>
      </c:valAx>
      <c:valAx>
        <c:axId val="1777698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7769779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587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900" b="1">
                <a:solidFill>
                  <a:sysClr val="windowText" lastClr="000000"/>
                </a:solidFill>
              </a:rPr>
              <a:t>Contribution Margin</a:t>
            </a:r>
            <a:r>
              <a:rPr lang="en-US" sz="900" b="1" baseline="0">
                <a:solidFill>
                  <a:sysClr val="windowText" lastClr="000000"/>
                </a:solidFill>
              </a:rPr>
              <a:t> </a:t>
            </a:r>
            <a:r>
              <a:rPr lang="en-US" sz="900" b="1">
                <a:solidFill>
                  <a:sysClr val="windowText" lastClr="000000"/>
                </a:solidFill>
              </a:rPr>
              <a:t>Design Space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'Menu Version'!$N$5</c:f>
              <c:strCache>
                <c:ptCount val="1"/>
                <c:pt idx="0">
                  <c:v>Left</c:v>
                </c:pt>
              </c:strCache>
            </c:strRef>
          </c:tx>
          <c:spPr>
            <a:ln w="19050" cap="rnd">
              <a:solidFill>
                <a:schemeClr val="tx1"/>
              </a:solidFill>
              <a:round/>
            </a:ln>
            <a:effectLst/>
          </c:spPr>
          <c:marker>
            <c:symbol val="none"/>
          </c:marker>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Version'!$N$6:$N$18</c:f>
              <c:numCache>
                <c:formatCode>_(* #,##0.00_);_(* \(#,##0.00\);_(* "-"??_);_(@_)</c:formatCode>
                <c:ptCount val="13"/>
                <c:pt idx="0">
                  <c:v>552.75129913794569</c:v>
                </c:pt>
                <c:pt idx="1">
                  <c:v>1838.6783700000005</c:v>
                </c:pt>
              </c:numCache>
            </c:numRef>
          </c:yVal>
          <c:smooth val="0"/>
          <c:extLst>
            <c:ext xmlns:c16="http://schemas.microsoft.com/office/drawing/2014/chart" uri="{C3380CC4-5D6E-409C-BE32-E72D297353CC}">
              <c16:uniqueId val="{00000000-14D7-4805-8DD7-58BCA341694A}"/>
            </c:ext>
          </c:extLst>
        </c:ser>
        <c:ser>
          <c:idx val="1"/>
          <c:order val="1"/>
          <c:tx>
            <c:strRef>
              <c:f>'Menu Version'!$O$5</c:f>
              <c:strCache>
                <c:ptCount val="1"/>
                <c:pt idx="0">
                  <c:v>Right</c:v>
                </c:pt>
              </c:strCache>
            </c:strRef>
          </c:tx>
          <c:spPr>
            <a:ln w="19050" cap="rnd">
              <a:solidFill>
                <a:schemeClr val="tx1"/>
              </a:solidFill>
              <a:round/>
            </a:ln>
            <a:effectLst/>
          </c:spPr>
          <c:marker>
            <c:symbol val="none"/>
          </c:marker>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Version'!$O$6:$O$18</c:f>
              <c:numCache>
                <c:formatCode>General</c:formatCode>
                <c:ptCount val="13"/>
                <c:pt idx="2">
                  <c:v>748.65080240010707</c:v>
                </c:pt>
                <c:pt idx="3">
                  <c:v>2490.3207630683332</c:v>
                </c:pt>
              </c:numCache>
            </c:numRef>
          </c:yVal>
          <c:smooth val="0"/>
          <c:extLst>
            <c:ext xmlns:c16="http://schemas.microsoft.com/office/drawing/2014/chart" uri="{C3380CC4-5D6E-409C-BE32-E72D297353CC}">
              <c16:uniqueId val="{00000001-14D7-4805-8DD7-58BCA341694A}"/>
            </c:ext>
          </c:extLst>
        </c:ser>
        <c:ser>
          <c:idx val="2"/>
          <c:order val="2"/>
          <c:tx>
            <c:strRef>
              <c:f>'Menu Version'!$P$5</c:f>
              <c:strCache>
                <c:ptCount val="1"/>
                <c:pt idx="0">
                  <c:v>Bottom</c:v>
                </c:pt>
              </c:strCache>
            </c:strRef>
          </c:tx>
          <c:spPr>
            <a:ln w="19050" cap="rnd">
              <a:solidFill>
                <a:schemeClr val="tx1"/>
              </a:solidFill>
              <a:round/>
            </a:ln>
            <a:effectLst/>
          </c:spPr>
          <c:marker>
            <c:symbol val="none"/>
          </c:marker>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Version'!$P$6:$P$18</c:f>
              <c:numCache>
                <c:formatCode>General</c:formatCode>
                <c:ptCount val="13"/>
                <c:pt idx="4" formatCode="_(* #,##0.00_);_(* \(#,##0.00\);_(* &quot;-&quot;??_);_(@_)">
                  <c:v>552.75129913794569</c:v>
                </c:pt>
                <c:pt idx="5" formatCode="_(* #,##0.00_);_(* \(#,##0.00\);_(* &quot;-&quot;??_);_(@_)">
                  <c:v>748.65080240010707</c:v>
                </c:pt>
              </c:numCache>
            </c:numRef>
          </c:yVal>
          <c:smooth val="0"/>
          <c:extLst>
            <c:ext xmlns:c16="http://schemas.microsoft.com/office/drawing/2014/chart" uri="{C3380CC4-5D6E-409C-BE32-E72D297353CC}">
              <c16:uniqueId val="{00000002-14D7-4805-8DD7-58BCA341694A}"/>
            </c:ext>
          </c:extLst>
        </c:ser>
        <c:ser>
          <c:idx val="3"/>
          <c:order val="3"/>
          <c:tx>
            <c:strRef>
              <c:f>'Menu Version'!$Q$5</c:f>
              <c:strCache>
                <c:ptCount val="1"/>
                <c:pt idx="0">
                  <c:v>top</c:v>
                </c:pt>
              </c:strCache>
            </c:strRef>
          </c:tx>
          <c:spPr>
            <a:ln w="19050" cap="rnd">
              <a:solidFill>
                <a:schemeClr val="tx1"/>
              </a:solidFill>
              <a:round/>
            </a:ln>
            <a:effectLst/>
          </c:spPr>
          <c:marker>
            <c:symbol val="none"/>
          </c:marker>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Version'!$Q$6:$Q$18</c:f>
              <c:numCache>
                <c:formatCode>General</c:formatCode>
                <c:ptCount val="13"/>
                <c:pt idx="7">
                  <c:v>1838.6783700000005</c:v>
                </c:pt>
                <c:pt idx="8">
                  <c:v>2490.3207630683332</c:v>
                </c:pt>
              </c:numCache>
            </c:numRef>
          </c:yVal>
          <c:smooth val="0"/>
          <c:extLst>
            <c:ext xmlns:c16="http://schemas.microsoft.com/office/drawing/2014/chart" uri="{C3380CC4-5D6E-409C-BE32-E72D297353CC}">
              <c16:uniqueId val="{00000003-14D7-4805-8DD7-58BCA341694A}"/>
            </c:ext>
          </c:extLst>
        </c:ser>
        <c:ser>
          <c:idx val="4"/>
          <c:order val="4"/>
          <c:tx>
            <c:strRef>
              <c:f>'Menu Version'!$R$5</c:f>
              <c:strCache>
                <c:ptCount val="1"/>
                <c:pt idx="0">
                  <c:v>1 to 2</c:v>
                </c:pt>
              </c:strCache>
            </c:strRef>
          </c:tx>
          <c:spPr>
            <a:ln w="19050" cap="rnd">
              <a:solidFill>
                <a:schemeClr val="tx1"/>
              </a:solidFill>
              <a:round/>
              <a:tailEnd type="triangle" w="med" len="med"/>
            </a:ln>
            <a:effectLst/>
          </c:spPr>
          <c:marker>
            <c:symbol val="none"/>
          </c:marker>
          <c:dPt>
            <c:idx val="10"/>
            <c:marker>
              <c:symbol val="none"/>
            </c:marker>
            <c:bubble3D val="0"/>
            <c:spPr>
              <a:ln w="12700" cap="rnd">
                <a:solidFill>
                  <a:schemeClr val="tx1"/>
                </a:solidFill>
                <a:round/>
                <a:tailEnd type="triangle" w="med" len="med"/>
              </a:ln>
              <a:effectLst/>
            </c:spPr>
            <c:extLst>
              <c:ext xmlns:c16="http://schemas.microsoft.com/office/drawing/2014/chart" uri="{C3380CC4-5D6E-409C-BE32-E72D297353CC}">
                <c16:uniqueId val="{00000005-14D7-4805-8DD7-58BCA341694A}"/>
              </c:ext>
            </c:extLst>
          </c:dPt>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Version'!$R$6:$R$18</c:f>
              <c:numCache>
                <c:formatCode>General</c:formatCode>
                <c:ptCount val="13"/>
                <c:pt idx="9" formatCode="0.0">
                  <c:v>2259.1400000000003</c:v>
                </c:pt>
                <c:pt idx="10" formatCode="0.0">
                  <c:v>2107.14</c:v>
                </c:pt>
              </c:numCache>
            </c:numRef>
          </c:yVal>
          <c:smooth val="0"/>
          <c:extLst>
            <c:ext xmlns:c16="http://schemas.microsoft.com/office/drawing/2014/chart" uri="{C3380CC4-5D6E-409C-BE32-E72D297353CC}">
              <c16:uniqueId val="{00000006-14D7-4805-8DD7-58BCA341694A}"/>
            </c:ext>
          </c:extLst>
        </c:ser>
        <c:ser>
          <c:idx val="5"/>
          <c:order val="5"/>
          <c:tx>
            <c:strRef>
              <c:f>'Menu Version'!$S$5</c:f>
              <c:strCache>
                <c:ptCount val="1"/>
                <c:pt idx="0">
                  <c:v>2 to 3</c:v>
                </c:pt>
              </c:strCache>
            </c:strRef>
          </c:tx>
          <c:spPr>
            <a:ln w="19050" cap="rnd">
              <a:solidFill>
                <a:schemeClr val="tx1"/>
              </a:solidFill>
              <a:round/>
              <a:tailEnd type="triangle" w="med" len="med"/>
            </a:ln>
            <a:effectLst/>
          </c:spPr>
          <c:marker>
            <c:symbol val="none"/>
          </c:marker>
          <c:dPt>
            <c:idx val="12"/>
            <c:marker>
              <c:symbol val="none"/>
            </c:marker>
            <c:bubble3D val="0"/>
            <c:spPr>
              <a:ln w="12700" cap="rnd">
                <a:solidFill>
                  <a:schemeClr val="tx1"/>
                </a:solidFill>
                <a:round/>
                <a:tailEnd type="triangle" w="med" len="med"/>
              </a:ln>
              <a:effectLst/>
            </c:spPr>
            <c:extLst>
              <c:ext xmlns:c16="http://schemas.microsoft.com/office/drawing/2014/chart" uri="{C3380CC4-5D6E-409C-BE32-E72D297353CC}">
                <c16:uniqueId val="{00000008-14D7-4805-8DD7-58BCA341694A}"/>
              </c:ext>
            </c:extLst>
          </c:dPt>
          <c:xVal>
            <c:numRef>
              <c:f>'Menu Version'!$M$6:$M$18</c:f>
              <c:numCache>
                <c:formatCode>General</c:formatCode>
                <c:ptCount val="13"/>
                <c:pt idx="0">
                  <c:v>132.3906791817659</c:v>
                </c:pt>
                <c:pt idx="1">
                  <c:v>132.3906791817659</c:v>
                </c:pt>
                <c:pt idx="2">
                  <c:v>179.31100000000004</c:v>
                </c:pt>
                <c:pt idx="3">
                  <c:v>179.31100000000004</c:v>
                </c:pt>
                <c:pt idx="4">
                  <c:v>132.3906791817659</c:v>
                </c:pt>
                <c:pt idx="5">
                  <c:v>179.31100000000004</c:v>
                </c:pt>
                <c:pt idx="7">
                  <c:v>132.3906791817659</c:v>
                </c:pt>
                <c:pt idx="8">
                  <c:v>179.31100000000004</c:v>
                </c:pt>
                <c:pt idx="9" formatCode="0.0">
                  <c:v>148.99</c:v>
                </c:pt>
                <c:pt idx="10" formatCode="0.0">
                  <c:v>163.01000000000002</c:v>
                </c:pt>
                <c:pt idx="11" formatCode="0.0">
                  <c:v>163.01000000000002</c:v>
                </c:pt>
                <c:pt idx="12" formatCode="0.0000">
                  <c:v>147.10075464640656</c:v>
                </c:pt>
              </c:numCache>
            </c:numRef>
          </c:xVal>
          <c:yVal>
            <c:numRef>
              <c:f>'Menu Version'!$S$6:$S$18</c:f>
              <c:numCache>
                <c:formatCode>0.00%</c:formatCode>
                <c:ptCount val="13"/>
                <c:pt idx="11" formatCode="0.00">
                  <c:v>2107.14</c:v>
                </c:pt>
                <c:pt idx="12" formatCode="0.00">
                  <c:v>2042.9759666666671</c:v>
                </c:pt>
              </c:numCache>
            </c:numRef>
          </c:yVal>
          <c:smooth val="0"/>
          <c:extLst>
            <c:ext xmlns:c16="http://schemas.microsoft.com/office/drawing/2014/chart" uri="{C3380CC4-5D6E-409C-BE32-E72D297353CC}">
              <c16:uniqueId val="{00000009-14D7-4805-8DD7-58BCA341694A}"/>
            </c:ext>
          </c:extLst>
        </c:ser>
        <c:dLbls>
          <c:showLegendKey val="0"/>
          <c:showVal val="0"/>
          <c:showCatName val="0"/>
          <c:showSerName val="0"/>
          <c:showPercent val="0"/>
          <c:showBubbleSize val="0"/>
        </c:dLbls>
        <c:axId val="493636000"/>
        <c:axId val="493635520"/>
      </c:scatterChart>
      <c:valAx>
        <c:axId val="4936360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r>
                  <a:rPr lang="en-US" b="0"/>
                  <a:t>Faculty (FTEF)</a:t>
                </a:r>
                <a:endParaRPr lang="en-US" sz="800" b="0" i="0" u="none" strike="noStrike" kern="1200" spc="0" baseline="0">
                  <a:solidFill>
                    <a:sysClr val="windowText" lastClr="000000"/>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3635520"/>
        <c:crosses val="autoZero"/>
        <c:crossBetween val="midCat"/>
      </c:valAx>
      <c:valAx>
        <c:axId val="493635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5400000" spcFirstLastPara="1" vertOverflow="ellipsis" vert="horz" wrap="square" anchor="ctr" anchorCtr="1"/>
              <a:lstStyle/>
              <a:p>
                <a:pPr algn="ctr">
                  <a:defRPr sz="1000" b="0" i="0" u="none" strike="noStrike" kern="1200" baseline="0">
                    <a:solidFill>
                      <a:schemeClr val="tx1"/>
                    </a:solidFill>
                    <a:latin typeface="+mn-lt"/>
                    <a:ea typeface="+mn-ea"/>
                    <a:cs typeface="+mn-cs"/>
                  </a:defRPr>
                </a:pPr>
                <a:r>
                  <a:rPr lang="en-US"/>
                  <a:t>Students (FTES)</a:t>
                </a:r>
              </a:p>
            </c:rich>
          </c:tx>
          <c:layout>
            <c:manualLayout>
              <c:xMode val="edge"/>
              <c:yMode val="edge"/>
              <c:x val="3.4255052982731557E-2"/>
              <c:y val="0.2966232343359681"/>
            </c:manualLayout>
          </c:layout>
          <c:overlay val="0"/>
          <c:spPr>
            <a:noFill/>
            <a:ln>
              <a:noFill/>
            </a:ln>
            <a:effectLst/>
          </c:spPr>
          <c:txPr>
            <a:bodyPr rot="-5400000" spcFirstLastPara="1" vertOverflow="ellipsis" vert="horz" wrap="square" anchor="ctr" anchorCtr="1"/>
            <a:lstStyle/>
            <a:p>
              <a:pPr algn="ctr">
                <a:defRPr sz="1000" b="0" i="0" u="none" strike="noStrike" kern="1200" baseline="0">
                  <a:solidFill>
                    <a:schemeClr val="tx1"/>
                  </a:solidFill>
                  <a:latin typeface="+mn-lt"/>
                  <a:ea typeface="+mn-ea"/>
                  <a:cs typeface="+mn-cs"/>
                </a:defRPr>
              </a:pPr>
              <a:endParaRPr lang="en-US"/>
            </a:p>
          </c:txPr>
        </c:title>
        <c:numFmt formatCode="_(* #,##0_);_(* \(#,##0\);_(*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363600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587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900" b="1">
                <a:solidFill>
                  <a:sysClr val="windowText" lastClr="000000"/>
                </a:solidFill>
              </a:rPr>
              <a:t>Contribution Margin Trend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'Menu Version'!$R$27</c:f>
              <c:strCache>
                <c:ptCount val="1"/>
                <c:pt idx="0">
                  <c:v>A</c:v>
                </c:pt>
              </c:strCache>
            </c:strRef>
          </c:tx>
          <c:spPr>
            <a:ln w="19050" cap="rnd">
              <a:solidFill>
                <a:schemeClr val="accent1"/>
              </a:solidFill>
              <a:round/>
            </a:ln>
            <a:effectLst/>
          </c:spPr>
          <c:marker>
            <c:symbol val="none"/>
          </c:marker>
          <c:dPt>
            <c:idx val="1"/>
            <c:marker>
              <c:symbol val="none"/>
            </c:marker>
            <c:bubble3D val="0"/>
            <c:spPr>
              <a:ln w="19050" cap="rnd">
                <a:solidFill>
                  <a:schemeClr val="tx1"/>
                </a:solidFill>
                <a:round/>
                <a:tailEnd type="triangle"/>
              </a:ln>
              <a:effectLst/>
            </c:spPr>
            <c:extLst>
              <c:ext xmlns:c16="http://schemas.microsoft.com/office/drawing/2014/chart" uri="{C3380CC4-5D6E-409C-BE32-E72D297353CC}">
                <c16:uniqueId val="{00000001-6783-4CCA-B9ED-C7E9B9BD933A}"/>
              </c:ext>
            </c:extLst>
          </c:dPt>
          <c:xVal>
            <c:numRef>
              <c:f>'Menu Version'!$Q$28:$Q$31</c:f>
              <c:numCache>
                <c:formatCode>General</c:formatCode>
                <c:ptCount val="4"/>
                <c:pt idx="0">
                  <c:v>1</c:v>
                </c:pt>
                <c:pt idx="1">
                  <c:v>2</c:v>
                </c:pt>
                <c:pt idx="2">
                  <c:v>2</c:v>
                </c:pt>
                <c:pt idx="3">
                  <c:v>3</c:v>
                </c:pt>
              </c:numCache>
            </c:numRef>
          </c:xVal>
          <c:yVal>
            <c:numRef>
              <c:f>'Menu Version'!$R$28:$R$31</c:f>
              <c:numCache>
                <c:formatCode>_(* #,##0_);_(* \(#,##0\);_(* "-"??_);_(@_)</c:formatCode>
                <c:ptCount val="4"/>
                <c:pt idx="0">
                  <c:v>31755505.948199991</c:v>
                </c:pt>
                <c:pt idx="1">
                  <c:v>28412308.836200003</c:v>
                </c:pt>
              </c:numCache>
            </c:numRef>
          </c:yVal>
          <c:smooth val="0"/>
          <c:extLst>
            <c:ext xmlns:c16="http://schemas.microsoft.com/office/drawing/2014/chart" uri="{C3380CC4-5D6E-409C-BE32-E72D297353CC}">
              <c16:uniqueId val="{00000002-6783-4CCA-B9ED-C7E9B9BD933A}"/>
            </c:ext>
          </c:extLst>
        </c:ser>
        <c:ser>
          <c:idx val="1"/>
          <c:order val="1"/>
          <c:tx>
            <c:strRef>
              <c:f>'Menu Version'!$S$27</c:f>
              <c:strCache>
                <c:ptCount val="1"/>
                <c:pt idx="0">
                  <c:v>B</c:v>
                </c:pt>
              </c:strCache>
            </c:strRef>
          </c:tx>
          <c:spPr>
            <a:ln w="19050" cap="rnd">
              <a:solidFill>
                <a:schemeClr val="accent2"/>
              </a:solidFill>
              <a:round/>
            </a:ln>
            <a:effectLst/>
          </c:spPr>
          <c:marker>
            <c:symbol val="none"/>
          </c:marker>
          <c:dPt>
            <c:idx val="3"/>
            <c:marker>
              <c:symbol val="none"/>
            </c:marker>
            <c:bubble3D val="0"/>
            <c:spPr>
              <a:ln w="19050" cap="rnd">
                <a:solidFill>
                  <a:schemeClr val="tx1"/>
                </a:solidFill>
                <a:round/>
                <a:tailEnd type="triangle"/>
              </a:ln>
              <a:effectLst/>
            </c:spPr>
            <c:extLst>
              <c:ext xmlns:c16="http://schemas.microsoft.com/office/drawing/2014/chart" uri="{C3380CC4-5D6E-409C-BE32-E72D297353CC}">
                <c16:uniqueId val="{00000004-6783-4CCA-B9ED-C7E9B9BD933A}"/>
              </c:ext>
            </c:extLst>
          </c:dPt>
          <c:xVal>
            <c:numRef>
              <c:f>'Menu Version'!$Q$28:$Q$31</c:f>
              <c:numCache>
                <c:formatCode>General</c:formatCode>
                <c:ptCount val="4"/>
                <c:pt idx="0">
                  <c:v>1</c:v>
                </c:pt>
                <c:pt idx="1">
                  <c:v>2</c:v>
                </c:pt>
                <c:pt idx="2">
                  <c:v>2</c:v>
                </c:pt>
                <c:pt idx="3">
                  <c:v>3</c:v>
                </c:pt>
              </c:numCache>
            </c:numRef>
          </c:xVal>
          <c:yVal>
            <c:numRef>
              <c:f>'Menu Version'!$S$28:$S$31</c:f>
              <c:numCache>
                <c:formatCode>General</c:formatCode>
                <c:ptCount val="4"/>
                <c:pt idx="2" formatCode="_(* #,##0_);_(* \(#,##0\);_(* &quot;-&quot;??_);_(@_)">
                  <c:v>28412308.836200003</c:v>
                </c:pt>
                <c:pt idx="3" formatCode="_(* #,##0_);_(* \(#,##0\);_(* &quot;-&quot;??_);_(@_)">
                  <c:v>28486276.009982694</c:v>
                </c:pt>
              </c:numCache>
            </c:numRef>
          </c:yVal>
          <c:smooth val="0"/>
          <c:extLst>
            <c:ext xmlns:c16="http://schemas.microsoft.com/office/drawing/2014/chart" uri="{C3380CC4-5D6E-409C-BE32-E72D297353CC}">
              <c16:uniqueId val="{00000005-6783-4CCA-B9ED-C7E9B9BD933A}"/>
            </c:ext>
          </c:extLst>
        </c:ser>
        <c:dLbls>
          <c:showLegendKey val="0"/>
          <c:showVal val="0"/>
          <c:showCatName val="0"/>
          <c:showSerName val="0"/>
          <c:showPercent val="0"/>
          <c:showBubbleSize val="0"/>
        </c:dLbls>
        <c:axId val="1777697792"/>
        <c:axId val="1777698272"/>
      </c:scatterChart>
      <c:valAx>
        <c:axId val="1777697792"/>
        <c:scaling>
          <c:orientation val="minMax"/>
          <c:max val="3"/>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77698272"/>
        <c:crosses val="autoZero"/>
        <c:crossBetween val="midCat"/>
        <c:majorUnit val="1"/>
      </c:valAx>
      <c:valAx>
        <c:axId val="1777698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7769779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587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18</xdr:row>
      <xdr:rowOff>13496</xdr:rowOff>
    </xdr:from>
    <xdr:to>
      <xdr:col>6</xdr:col>
      <xdr:colOff>567764</xdr:colOff>
      <xdr:row>39</xdr:row>
      <xdr:rowOff>143259</xdr:rowOff>
    </xdr:to>
    <xdr:graphicFrame macro="">
      <xdr:nvGraphicFramePr>
        <xdr:cNvPr id="2" name="Chart 1">
          <a:extLst>
            <a:ext uri="{FF2B5EF4-FFF2-40B4-BE49-F238E27FC236}">
              <a16:creationId xmlns:a16="http://schemas.microsoft.com/office/drawing/2014/main" id="{CD4439AA-9BE1-485B-96C6-5DAD6E108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564562</xdr:colOff>
      <xdr:row>18</xdr:row>
      <xdr:rowOff>8679</xdr:rowOff>
    </xdr:from>
    <xdr:to>
      <xdr:col>10</xdr:col>
      <xdr:colOff>0</xdr:colOff>
      <xdr:row>39</xdr:row>
      <xdr:rowOff>146050</xdr:rowOff>
    </xdr:to>
    <xdr:graphicFrame macro="">
      <xdr:nvGraphicFramePr>
        <xdr:cNvPr id="3" name="Chart 2">
          <a:extLst>
            <a:ext uri="{FF2B5EF4-FFF2-40B4-BE49-F238E27FC236}">
              <a16:creationId xmlns:a16="http://schemas.microsoft.com/office/drawing/2014/main" id="{B4914289-3069-4991-9DAE-FEE510960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13496</xdr:rowOff>
    </xdr:from>
    <xdr:to>
      <xdr:col>6</xdr:col>
      <xdr:colOff>567764</xdr:colOff>
      <xdr:row>38</xdr:row>
      <xdr:rowOff>143259</xdr:rowOff>
    </xdr:to>
    <xdr:graphicFrame macro="">
      <xdr:nvGraphicFramePr>
        <xdr:cNvPr id="2" name="Chart 1">
          <a:extLst>
            <a:ext uri="{FF2B5EF4-FFF2-40B4-BE49-F238E27FC236}">
              <a16:creationId xmlns:a16="http://schemas.microsoft.com/office/drawing/2014/main" id="{DE26CC97-557D-46B2-95A1-7EC7968E95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564562</xdr:colOff>
      <xdr:row>17</xdr:row>
      <xdr:rowOff>8679</xdr:rowOff>
    </xdr:from>
    <xdr:to>
      <xdr:col>10</xdr:col>
      <xdr:colOff>0</xdr:colOff>
      <xdr:row>38</xdr:row>
      <xdr:rowOff>146050</xdr:rowOff>
    </xdr:to>
    <xdr:graphicFrame macro="">
      <xdr:nvGraphicFramePr>
        <xdr:cNvPr id="3" name="Chart 2">
          <a:extLst>
            <a:ext uri="{FF2B5EF4-FFF2-40B4-BE49-F238E27FC236}">
              <a16:creationId xmlns:a16="http://schemas.microsoft.com/office/drawing/2014/main" id="{C8397E3C-9575-46B9-B753-F1F70ED59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311150</xdr:colOff>
      <xdr:row>0</xdr:row>
      <xdr:rowOff>113507</xdr:rowOff>
    </xdr:from>
    <xdr:to>
      <xdr:col>9</xdr:col>
      <xdr:colOff>37026</xdr:colOff>
      <xdr:row>21</xdr:row>
      <xdr:rowOff>171217</xdr:rowOff>
    </xdr:to>
    <xdr:pic>
      <xdr:nvPicPr>
        <xdr:cNvPr id="2" name="Picture 1">
          <a:extLst>
            <a:ext uri="{FF2B5EF4-FFF2-40B4-BE49-F238E27FC236}">
              <a16:creationId xmlns:a16="http://schemas.microsoft.com/office/drawing/2014/main" id="{B4F07C0C-6FAA-AA0C-D214-4D447A56DD4B}"/>
            </a:ext>
          </a:extLst>
        </xdr:cNvPr>
        <xdr:cNvPicPr>
          <a:picLocks noChangeAspect="1"/>
        </xdr:cNvPicPr>
      </xdr:nvPicPr>
      <xdr:blipFill>
        <a:blip xmlns:r="http://schemas.openxmlformats.org/officeDocument/2006/relationships" r:embed="rId1"/>
        <a:stretch>
          <a:fillRect/>
        </a:stretch>
      </xdr:blipFill>
      <xdr:spPr>
        <a:xfrm>
          <a:off x="311150" y="113507"/>
          <a:ext cx="5212276" cy="3924860"/>
        </a:xfrm>
        <a:prstGeom prst="rect">
          <a:avLst/>
        </a:prstGeom>
      </xdr:spPr>
    </xdr:pic>
    <xdr:clientData/>
  </xdr:twoCellAnchor>
  <xdr:twoCellAnchor editAs="oneCell">
    <xdr:from>
      <xdr:col>10</xdr:col>
      <xdr:colOff>577850</xdr:colOff>
      <xdr:row>4</xdr:row>
      <xdr:rowOff>57150</xdr:rowOff>
    </xdr:from>
    <xdr:to>
      <xdr:col>22</xdr:col>
      <xdr:colOff>401317</xdr:colOff>
      <xdr:row>18</xdr:row>
      <xdr:rowOff>138768</xdr:rowOff>
    </xdr:to>
    <xdr:pic>
      <xdr:nvPicPr>
        <xdr:cNvPr id="3" name="Picture 2">
          <a:extLst>
            <a:ext uri="{FF2B5EF4-FFF2-40B4-BE49-F238E27FC236}">
              <a16:creationId xmlns:a16="http://schemas.microsoft.com/office/drawing/2014/main" id="{8BE4B6A3-6A42-481A-9593-F8F0EF749D81}"/>
            </a:ext>
          </a:extLst>
        </xdr:cNvPr>
        <xdr:cNvPicPr>
          <a:picLocks noChangeAspect="1"/>
        </xdr:cNvPicPr>
      </xdr:nvPicPr>
      <xdr:blipFill>
        <a:blip xmlns:r="http://schemas.openxmlformats.org/officeDocument/2006/relationships" r:embed="rId2"/>
        <a:stretch>
          <a:fillRect/>
        </a:stretch>
      </xdr:blipFill>
      <xdr:spPr>
        <a:xfrm>
          <a:off x="6673850" y="819150"/>
          <a:ext cx="7138667" cy="2748618"/>
        </a:xfrm>
        <a:prstGeom prst="rect">
          <a:avLst/>
        </a:prstGeom>
      </xdr:spPr>
    </xdr:pic>
    <xdr:clientData/>
  </xdr:twoCellAnchor>
  <xdr:twoCellAnchor editAs="oneCell">
    <xdr:from>
      <xdr:col>14</xdr:col>
      <xdr:colOff>25262</xdr:colOff>
      <xdr:row>2</xdr:row>
      <xdr:rowOff>19679</xdr:rowOff>
    </xdr:from>
    <xdr:to>
      <xdr:col>19</xdr:col>
      <xdr:colOff>457199</xdr:colOff>
      <xdr:row>23</xdr:row>
      <xdr:rowOff>64842</xdr:rowOff>
    </xdr:to>
    <xdr:pic>
      <xdr:nvPicPr>
        <xdr:cNvPr id="4" name="Picture 3">
          <a:extLst>
            <a:ext uri="{FF2B5EF4-FFF2-40B4-BE49-F238E27FC236}">
              <a16:creationId xmlns:a16="http://schemas.microsoft.com/office/drawing/2014/main" id="{BBC0AD13-3E32-37FB-3B3C-D2A1F55ECD20}"/>
            </a:ext>
          </a:extLst>
        </xdr:cNvPr>
        <xdr:cNvPicPr>
          <a:picLocks noChangeAspect="1"/>
        </xdr:cNvPicPr>
      </xdr:nvPicPr>
      <xdr:blipFill>
        <a:blip xmlns:r="http://schemas.openxmlformats.org/officeDocument/2006/relationships" r:embed="rId3"/>
        <a:stretch>
          <a:fillRect/>
        </a:stretch>
      </xdr:blipFill>
      <xdr:spPr>
        <a:xfrm>
          <a:off x="8559662" y="400679"/>
          <a:ext cx="3479937" cy="404566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7E757-D83A-445D-93F1-D3AAFC86393E}">
  <sheetPr codeName="Sheet9"/>
  <dimension ref="A1:S41"/>
  <sheetViews>
    <sheetView showGridLines="0" tabSelected="1" zoomScale="85" zoomScaleNormal="85" workbookViewId="0">
      <selection activeCell="H11" sqref="H11"/>
    </sheetView>
  </sheetViews>
  <sheetFormatPr defaultColWidth="8.7109375" defaultRowHeight="15" x14ac:dyDescent="0.25"/>
  <cols>
    <col min="1" max="1" width="7.5703125" style="22" customWidth="1"/>
    <col min="2" max="2" width="13.42578125" style="22" customWidth="1"/>
    <col min="3" max="4" width="9.85546875" style="22" customWidth="1"/>
    <col min="5" max="5" width="11.7109375" style="22" customWidth="1"/>
    <col min="6" max="6" width="9.85546875" style="22" customWidth="1"/>
    <col min="7" max="7" width="11" style="22" customWidth="1"/>
    <col min="8" max="8" width="9.7109375" style="22" customWidth="1"/>
    <col min="9" max="9" width="10.5703125" style="27" customWidth="1"/>
    <col min="10" max="10" width="8.5703125" style="22" customWidth="1"/>
    <col min="11" max="17" width="0.28515625" style="91" customWidth="1"/>
    <col min="18" max="18" width="8.5703125" style="23" customWidth="1"/>
    <col min="19" max="19" width="14.28515625" style="23" bestFit="1" customWidth="1"/>
    <col min="20" max="16384" width="8.7109375" style="23"/>
  </cols>
  <sheetData>
    <row r="1" spans="1:17" ht="14.45" customHeight="1" x14ac:dyDescent="0.25">
      <c r="A1" s="127" t="s">
        <v>169</v>
      </c>
      <c r="B1" s="130" t="s">
        <v>48</v>
      </c>
      <c r="C1" s="131"/>
      <c r="D1" s="131"/>
      <c r="E1" s="131"/>
      <c r="F1" s="131"/>
      <c r="G1" s="131"/>
      <c r="H1" s="131"/>
      <c r="I1" s="131"/>
      <c r="J1" s="132"/>
    </row>
    <row r="2" spans="1:17" ht="14.45" customHeight="1" x14ac:dyDescent="0.25">
      <c r="A2" s="128"/>
      <c r="B2" s="133"/>
      <c r="C2" s="133"/>
      <c r="D2" s="133"/>
      <c r="E2" s="133"/>
      <c r="F2" s="133"/>
      <c r="G2" s="133"/>
      <c r="H2" s="133"/>
      <c r="I2" s="133"/>
      <c r="J2" s="134"/>
    </row>
    <row r="3" spans="1:17" ht="12.75" customHeight="1" x14ac:dyDescent="0.25">
      <c r="A3" s="128"/>
      <c r="B3" s="133"/>
      <c r="C3" s="133"/>
      <c r="D3" s="133"/>
      <c r="E3" s="133"/>
      <c r="F3" s="133"/>
      <c r="G3" s="133"/>
      <c r="H3" s="133"/>
      <c r="I3" s="133"/>
      <c r="J3" s="134"/>
    </row>
    <row r="4" spans="1:17" ht="12.75" customHeight="1" x14ac:dyDescent="0.25">
      <c r="A4" s="129"/>
      <c r="B4" s="135"/>
      <c r="C4" s="135"/>
      <c r="D4" s="135"/>
      <c r="E4" s="135"/>
      <c r="F4" s="135"/>
      <c r="G4" s="135"/>
      <c r="H4" s="135"/>
      <c r="I4" s="135"/>
      <c r="J4" s="136"/>
    </row>
    <row r="5" spans="1:17" ht="12.75" customHeight="1" x14ac:dyDescent="0.25">
      <c r="A5" s="11" t="s">
        <v>54</v>
      </c>
      <c r="B5" s="137" t="s">
        <v>41</v>
      </c>
      <c r="C5" s="137"/>
      <c r="D5" s="137"/>
      <c r="E5" s="137"/>
      <c r="F5" s="137"/>
      <c r="G5" s="137"/>
      <c r="H5" s="137"/>
      <c r="I5" s="137"/>
      <c r="J5" s="24"/>
      <c r="L5" s="91" t="s">
        <v>10</v>
      </c>
      <c r="M5" s="91" t="s">
        <v>11</v>
      </c>
      <c r="N5" s="91" t="s">
        <v>22</v>
      </c>
      <c r="O5" s="91" t="s">
        <v>3</v>
      </c>
      <c r="P5" s="25" t="s">
        <v>24</v>
      </c>
      <c r="Q5" s="91" t="s">
        <v>23</v>
      </c>
    </row>
    <row r="6" spans="1:17" ht="12.75" customHeight="1" x14ac:dyDescent="0.25">
      <c r="A6" s="105"/>
      <c r="B6" s="26" t="s">
        <v>12</v>
      </c>
      <c r="C6" s="26" t="s">
        <v>34</v>
      </c>
      <c r="D6" s="26" t="s">
        <v>13</v>
      </c>
      <c r="E6" s="26" t="s">
        <v>14</v>
      </c>
      <c r="F6" s="26" t="s">
        <v>0</v>
      </c>
      <c r="G6" s="26" t="s">
        <v>1</v>
      </c>
      <c r="H6" s="22" t="s">
        <v>6</v>
      </c>
      <c r="I6" s="27" t="s">
        <v>7</v>
      </c>
      <c r="J6" s="112" t="s">
        <v>55</v>
      </c>
      <c r="K6" s="91">
        <f>L22</f>
        <v>7.6680000000000001</v>
      </c>
      <c r="L6" s="92">
        <f>M24</f>
        <v>32.728995728479902</v>
      </c>
      <c r="Q6" s="29"/>
    </row>
    <row r="7" spans="1:17" ht="12.75" customHeight="1" x14ac:dyDescent="0.25">
      <c r="A7" s="9" t="s">
        <v>172</v>
      </c>
      <c r="B7" s="138">
        <v>7246.5</v>
      </c>
      <c r="C7" s="138">
        <v>45</v>
      </c>
      <c r="D7" s="138">
        <v>265</v>
      </c>
      <c r="E7" s="138">
        <v>73596.78</v>
      </c>
      <c r="F7" s="138">
        <v>118.82</v>
      </c>
      <c r="G7" s="138">
        <v>10.41</v>
      </c>
      <c r="H7" s="77">
        <v>11.42</v>
      </c>
      <c r="I7" s="8">
        <f>(B7+C7*D7-E7/H7)*F7</f>
        <v>1512216.001313485</v>
      </c>
      <c r="J7" s="113">
        <f>I7/F7</f>
        <v>12726.948336252188</v>
      </c>
      <c r="K7" s="91">
        <f>K6</f>
        <v>7.6680000000000001</v>
      </c>
      <c r="L7" s="92">
        <f>M22</f>
        <v>92.016000000000005</v>
      </c>
      <c r="Q7" s="29"/>
    </row>
    <row r="8" spans="1:17" ht="12.75" customHeight="1" x14ac:dyDescent="0.25">
      <c r="A8" s="9" t="s">
        <v>173</v>
      </c>
      <c r="B8" s="138">
        <v>7475.57</v>
      </c>
      <c r="C8" s="138">
        <v>45</v>
      </c>
      <c r="D8" s="138">
        <v>265</v>
      </c>
      <c r="E8" s="138">
        <v>79327.73</v>
      </c>
      <c r="F8" s="138">
        <v>124.93</v>
      </c>
      <c r="G8" s="139">
        <v>9.2799999999999994</v>
      </c>
      <c r="H8" s="140">
        <v>13.47</v>
      </c>
      <c r="I8" s="8">
        <f>(B8+C8*D8-E8/H8)*F8</f>
        <v>1687973.5435149963</v>
      </c>
      <c r="J8" s="113">
        <f t="shared" ref="J8" si="0">I8/F8</f>
        <v>13511.354706755754</v>
      </c>
      <c r="K8" s="91">
        <f>K7</f>
        <v>7.6680000000000001</v>
      </c>
      <c r="M8" s="91">
        <f>P20</f>
        <v>0</v>
      </c>
      <c r="Q8" s="29"/>
    </row>
    <row r="9" spans="1:17" ht="12.75" customHeight="1" x14ac:dyDescent="0.25">
      <c r="A9" s="9" t="s">
        <v>175</v>
      </c>
      <c r="B9" s="138">
        <v>7459.2</v>
      </c>
      <c r="C9" s="138">
        <v>45</v>
      </c>
      <c r="D9" s="138">
        <v>265</v>
      </c>
      <c r="E9" s="138">
        <v>82736.75</v>
      </c>
      <c r="F9" s="138">
        <v>77.22</v>
      </c>
      <c r="G9" s="138">
        <v>8.52</v>
      </c>
      <c r="H9" s="36">
        <v>9.06</v>
      </c>
      <c r="I9" s="8">
        <f>(B9+C9*D9-E9/H9)*F9</f>
        <v>791667.80976158939</v>
      </c>
      <c r="J9" s="113">
        <f t="shared" ref="J9:J10" si="1">I9/F9</f>
        <v>10252.108388520972</v>
      </c>
      <c r="K9" s="91">
        <f>O22</f>
        <v>11.458333333333334</v>
      </c>
      <c r="M9" s="91">
        <f>P24</f>
        <v>48.907113031059666</v>
      </c>
      <c r="Q9" s="29"/>
    </row>
    <row r="10" spans="1:17" ht="12.75" customHeight="1" x14ac:dyDescent="0.25">
      <c r="A10" s="9" t="s">
        <v>174</v>
      </c>
      <c r="B10" s="103">
        <v>7500</v>
      </c>
      <c r="C10" s="103">
        <v>45</v>
      </c>
      <c r="D10" s="103">
        <v>265</v>
      </c>
      <c r="E10" s="103">
        <f>E9*1.03</f>
        <v>85218.852500000008</v>
      </c>
      <c r="F10" s="103">
        <v>125</v>
      </c>
      <c r="G10" s="75">
        <f>G9+G14</f>
        <v>10.416666666666666</v>
      </c>
      <c r="H10" s="104">
        <v>12</v>
      </c>
      <c r="I10" s="8">
        <f>(B10+C10*D10-E10/H10)*F10</f>
        <v>1540428.6197916667</v>
      </c>
      <c r="J10" s="113">
        <f t="shared" si="1"/>
        <v>12323.428958333334</v>
      </c>
      <c r="K10" s="91">
        <f>K9</f>
        <v>11.458333333333334</v>
      </c>
      <c r="M10" s="91">
        <f>P22</f>
        <v>137.5</v>
      </c>
      <c r="Q10" s="29"/>
    </row>
    <row r="11" spans="1:17" ht="12.75" customHeight="1" x14ac:dyDescent="0.25">
      <c r="A11" s="9"/>
      <c r="B11" s="30" t="s">
        <v>42</v>
      </c>
      <c r="C11" s="30"/>
      <c r="D11" s="30"/>
      <c r="E11" s="30"/>
      <c r="F11" s="30"/>
      <c r="G11" s="30"/>
      <c r="H11" s="30"/>
      <c r="I11" s="30" t="s">
        <v>43</v>
      </c>
      <c r="J11" s="31"/>
      <c r="K11" s="91">
        <f>L24</f>
        <v>7.6680000000000001</v>
      </c>
      <c r="N11" s="92">
        <f>M24</f>
        <v>32.728995728479902</v>
      </c>
      <c r="Q11" s="29"/>
    </row>
    <row r="12" spans="1:17" ht="12.75" customHeight="1" x14ac:dyDescent="0.25">
      <c r="A12" s="9"/>
      <c r="B12" s="32" t="s">
        <v>38</v>
      </c>
      <c r="C12" s="32" t="s">
        <v>39</v>
      </c>
      <c r="D12" s="33"/>
      <c r="E12" s="33" t="s">
        <v>40</v>
      </c>
      <c r="F12" s="32" t="s">
        <v>31</v>
      </c>
      <c r="G12" s="32" t="s">
        <v>29</v>
      </c>
      <c r="H12" s="33" t="s">
        <v>33</v>
      </c>
      <c r="I12" s="32" t="s">
        <v>32</v>
      </c>
      <c r="J12" s="114"/>
      <c r="K12" s="91">
        <f>O24</f>
        <v>11.458333333333334</v>
      </c>
      <c r="N12" s="92">
        <f>P24</f>
        <v>48.907113031059666</v>
      </c>
      <c r="Q12" s="29"/>
    </row>
    <row r="13" spans="1:17" ht="12.75" customHeight="1" x14ac:dyDescent="0.25">
      <c r="A13" s="9" t="s">
        <v>36</v>
      </c>
      <c r="B13" s="35">
        <f>B9-B7</f>
        <v>212.69999999999982</v>
      </c>
      <c r="C13" s="35">
        <f>C9*D9-C7*D7</f>
        <v>0</v>
      </c>
      <c r="E13" s="36">
        <f>E9-E7</f>
        <v>9139.9700000000012</v>
      </c>
      <c r="F13" s="36">
        <f>F9-F7</f>
        <v>-41.599999999999994</v>
      </c>
      <c r="G13" s="10">
        <f>G9-G7</f>
        <v>-1.8900000000000006</v>
      </c>
      <c r="H13" s="10">
        <f>H9-H7</f>
        <v>-2.3599999999999994</v>
      </c>
      <c r="I13" s="37">
        <f>I9-I7</f>
        <v>-720548.19155189558</v>
      </c>
      <c r="J13" s="115"/>
      <c r="Q13" s="29"/>
    </row>
    <row r="14" spans="1:17" ht="12.75" customHeight="1" x14ac:dyDescent="0.25">
      <c r="A14" s="9" t="s">
        <v>35</v>
      </c>
      <c r="B14" s="35">
        <f>B10-B9</f>
        <v>40.800000000000182</v>
      </c>
      <c r="C14" s="35">
        <f>C10*D10-C9*D9</f>
        <v>0</v>
      </c>
      <c r="E14" s="36">
        <f>E10-E9</f>
        <v>2482.1025000000081</v>
      </c>
      <c r="F14" s="36">
        <f>F10-F9</f>
        <v>47.78</v>
      </c>
      <c r="G14" s="10">
        <f>F10/H10-G9</f>
        <v>1.8966666666666665</v>
      </c>
      <c r="H14" s="10">
        <f>H10-H9</f>
        <v>2.9399999999999995</v>
      </c>
      <c r="I14" s="37">
        <f>I10-I9</f>
        <v>748760.81003007735</v>
      </c>
      <c r="J14" s="115"/>
      <c r="K14" s="91">
        <f>L22</f>
        <v>7.6680000000000001</v>
      </c>
      <c r="O14" s="91">
        <f>M22</f>
        <v>92.016000000000005</v>
      </c>
      <c r="Q14" s="29"/>
    </row>
    <row r="15" spans="1:17" ht="12.75" customHeight="1" x14ac:dyDescent="0.25">
      <c r="A15" s="9"/>
      <c r="B15" s="30" t="s">
        <v>56</v>
      </c>
      <c r="C15" s="30"/>
      <c r="D15" s="30"/>
      <c r="E15" s="30"/>
      <c r="F15" s="30"/>
      <c r="G15" s="30"/>
      <c r="H15" s="30"/>
      <c r="I15" s="30" t="s">
        <v>44</v>
      </c>
      <c r="J15" s="31"/>
      <c r="K15" s="91">
        <f>O22</f>
        <v>11.458333333333334</v>
      </c>
      <c r="O15" s="91">
        <f>P22</f>
        <v>137.5</v>
      </c>
      <c r="Q15" s="29"/>
    </row>
    <row r="16" spans="1:17" ht="12.75" customHeight="1" x14ac:dyDescent="0.25">
      <c r="A16" s="9" t="s">
        <v>49</v>
      </c>
      <c r="B16" s="33" t="s">
        <v>45</v>
      </c>
      <c r="C16" s="33" t="s">
        <v>46</v>
      </c>
      <c r="D16" s="33"/>
      <c r="E16" s="39" t="s">
        <v>47</v>
      </c>
      <c r="F16" s="22" t="s">
        <v>37</v>
      </c>
      <c r="G16" s="39"/>
      <c r="H16" s="33" t="s">
        <v>30</v>
      </c>
      <c r="I16" s="32" t="s">
        <v>32</v>
      </c>
      <c r="J16" s="114"/>
      <c r="K16" s="93">
        <f>L26</f>
        <v>10.41</v>
      </c>
      <c r="P16" s="93">
        <f>M26</f>
        <v>118.82</v>
      </c>
      <c r="Q16" s="29"/>
    </row>
    <row r="17" spans="1:19" ht="12.75" customHeight="1" x14ac:dyDescent="0.25">
      <c r="A17" s="12">
        <f>ABS((I17-I13)/I13)</f>
        <v>2.3114078157161405E-2</v>
      </c>
      <c r="B17" s="40">
        <f>F7*(1*B13)   +(1*B13)*(F13)</f>
        <v>16424.693999999989</v>
      </c>
      <c r="C17" s="40">
        <f>F7*(1*C13)   +(1*C13)*(F13)</f>
        <v>0</v>
      </c>
      <c r="D17" s="40"/>
      <c r="E17" s="40">
        <f>-1*F7*(E13)/H7      -1*(F13)*(E13)/H7   +1*F7*(E13)*(H13)/H7^2   +1*(F13)*(E13)*(H13)/H7^2    -1*F7*(E13)*((H13)^2)/H7^3            -1*(F13)*(E13)*((H13)^2)/H7^3   +1*F7*(E13)*((H13)^3)/H7^4</f>
        <v>-78053.358758699134</v>
      </c>
      <c r="F17" s="40">
        <f>1*(B7+C7*D7-E7/H7)*(F13)</f>
        <v>-529441.05078809103</v>
      </c>
      <c r="G17" s="40"/>
      <c r="H17" s="40">
        <f xml:space="preserve"> (((F7+F13)*(E7+E13))/H7^2    - (((F7+F13)*(E7+E13))*H13)/H7^3  + (((F7+F13)*(E7)+F7*E13)*H13^2)/H7^4        - E7*F7*(H13^3)/(H7^5)   )*H13</f>
        <v>-146133.28322063724</v>
      </c>
      <c r="I17" s="37">
        <f>SUM(B17:H17)</f>
        <v>-737202.9987674274</v>
      </c>
      <c r="J17" s="115"/>
      <c r="K17" s="93">
        <f>O26</f>
        <v>8.52</v>
      </c>
      <c r="P17" s="93">
        <f>P26</f>
        <v>77.22</v>
      </c>
      <c r="Q17" s="29"/>
    </row>
    <row r="18" spans="1:19" ht="12.75" customHeight="1" x14ac:dyDescent="0.25">
      <c r="A18" s="13">
        <f>ABS((I18-I14)/I14)</f>
        <v>1.309639096191116E-2</v>
      </c>
      <c r="B18" s="41">
        <f>F9*(1*B14)   +(1*B14)*(F14)</f>
        <v>5100.0000000000227</v>
      </c>
      <c r="C18" s="41">
        <f>F9*(1*C14)   +(1*C14)*(F14)</f>
        <v>0</v>
      </c>
      <c r="D18" s="41"/>
      <c r="E18" s="42">
        <f>-1*F9*(E14)/H9      -1*(F14)*(E14)/H9   +1*F9*(E14)*(H14)/H9^2   +1*(F14)*(E14)*(H14)/H9^2    -1*F9*(E14)*((H14)^2)/H9^3            -1*(F14)*(E14)*((H14)^2)/H9^3   +1*F9*(E14)*((H14)^3)/H9^4</f>
        <v>-26015.832190996683</v>
      </c>
      <c r="F18" s="43">
        <f>1*(B9+C9*D9-E9/H9)*(F14)</f>
        <v>489845.73880353203</v>
      </c>
      <c r="G18" s="42"/>
      <c r="H18" s="43">
        <f xml:space="preserve"> (((F9+F14)*(E9+E14))/H9^2    - (((F9+F14)*(E9+E14))*H14)/H9^3  + (((F9+F14)*(E9)+F9*E14)*H14^2)/H9^4        - E9*F9*(H14^3)/(H9^5)   )*H14</f>
        <v>289636.96772265318</v>
      </c>
      <c r="I18" s="43">
        <f>SUM(B18:H18)</f>
        <v>758566.87433518854</v>
      </c>
      <c r="J18" s="116"/>
      <c r="K18" s="93">
        <f>O26</f>
        <v>8.52</v>
      </c>
      <c r="Q18" s="45">
        <f>P26</f>
        <v>77.22</v>
      </c>
    </row>
    <row r="19" spans="1:19" ht="12.75" customHeight="1" x14ac:dyDescent="0.25">
      <c r="E19" s="36"/>
      <c r="F19" s="10"/>
      <c r="H19" s="27"/>
      <c r="K19" s="94">
        <f>L29</f>
        <v>10.416666666666666</v>
      </c>
      <c r="Q19" s="45">
        <f>M29</f>
        <v>125</v>
      </c>
    </row>
    <row r="20" spans="1:19" ht="12.75" customHeight="1" x14ac:dyDescent="0.25">
      <c r="E20" s="46"/>
      <c r="F20" s="10"/>
      <c r="G20" s="47"/>
      <c r="H20" s="27"/>
      <c r="S20" s="48"/>
    </row>
    <row r="21" spans="1:19" ht="12.75" customHeight="1" x14ac:dyDescent="0.25">
      <c r="G21" s="49"/>
      <c r="L21" s="91" t="s">
        <v>1</v>
      </c>
      <c r="M21" s="91" t="s">
        <v>0</v>
      </c>
      <c r="O21" s="91" t="s">
        <v>1</v>
      </c>
      <c r="P21" s="91" t="s">
        <v>0</v>
      </c>
      <c r="Q21" s="91" t="s">
        <v>27</v>
      </c>
    </row>
    <row r="22" spans="1:19" ht="12.75" customHeight="1" x14ac:dyDescent="0.25">
      <c r="G22" s="49"/>
      <c r="K22" s="91" t="s">
        <v>18</v>
      </c>
      <c r="L22" s="92">
        <f>0.9*MIN(G7,G9,G10)</f>
        <v>7.6680000000000001</v>
      </c>
      <c r="M22" s="92">
        <f>L22*H10</f>
        <v>92.016000000000005</v>
      </c>
      <c r="N22" s="91" t="s">
        <v>20</v>
      </c>
      <c r="O22" s="91">
        <f>1.1*MAX(G7,G9,G10)</f>
        <v>11.458333333333334</v>
      </c>
      <c r="P22" s="91">
        <f>H10*O22</f>
        <v>137.5</v>
      </c>
      <c r="Q22" s="91">
        <f>INT(0.95*L22)</f>
        <v>7</v>
      </c>
    </row>
    <row r="23" spans="1:19" ht="12.75" customHeight="1" x14ac:dyDescent="0.25">
      <c r="G23" s="50"/>
      <c r="L23" s="91" t="s">
        <v>1</v>
      </c>
      <c r="M23" s="91" t="s">
        <v>0</v>
      </c>
      <c r="O23" s="91" t="s">
        <v>1</v>
      </c>
      <c r="P23" s="91" t="s">
        <v>0</v>
      </c>
      <c r="Q23" s="91" t="s">
        <v>28</v>
      </c>
    </row>
    <row r="24" spans="1:19" ht="12.75" customHeight="1" x14ac:dyDescent="0.25">
      <c r="G24" s="50"/>
      <c r="K24" s="91" t="s">
        <v>19</v>
      </c>
      <c r="L24" s="92">
        <f>L22</f>
        <v>7.6680000000000001</v>
      </c>
      <c r="M24" s="92">
        <f>(E9/(B9+C9*D9))*L24</f>
        <v>32.728995728479902</v>
      </c>
      <c r="N24" s="91" t="s">
        <v>21</v>
      </c>
      <c r="O24" s="91">
        <f>O22</f>
        <v>11.458333333333334</v>
      </c>
      <c r="P24" s="92">
        <f>(E9/(B9+C9*D9))*O24</f>
        <v>48.907113031059666</v>
      </c>
      <c r="Q24" s="91">
        <f>ROUNDDOWN(0.95*M22,-1)</f>
        <v>80</v>
      </c>
    </row>
    <row r="25" spans="1:19" ht="12.75" customHeight="1" x14ac:dyDescent="0.25">
      <c r="G25" s="50"/>
      <c r="L25" s="91" t="s">
        <v>1</v>
      </c>
      <c r="M25" s="91" t="s">
        <v>0</v>
      </c>
      <c r="O25" s="91" t="s">
        <v>1</v>
      </c>
      <c r="P25" s="91" t="s">
        <v>0</v>
      </c>
    </row>
    <row r="26" spans="1:19" ht="12.75" customHeight="1" x14ac:dyDescent="0.25">
      <c r="G26" s="50"/>
      <c r="K26" s="91" t="s">
        <v>15</v>
      </c>
      <c r="L26" s="93">
        <f>G7</f>
        <v>10.41</v>
      </c>
      <c r="M26" s="93">
        <f>F7</f>
        <v>118.82</v>
      </c>
      <c r="N26" s="91" t="s">
        <v>16</v>
      </c>
      <c r="O26" s="93">
        <f>G9</f>
        <v>8.52</v>
      </c>
      <c r="P26" s="93">
        <f>F9</f>
        <v>77.22</v>
      </c>
    </row>
    <row r="27" spans="1:19" ht="12.75" customHeight="1" x14ac:dyDescent="0.25">
      <c r="G27" s="50"/>
    </row>
    <row r="28" spans="1:19" ht="12.75" customHeight="1" x14ac:dyDescent="0.25">
      <c r="G28" s="50"/>
      <c r="L28" s="91" t="s">
        <v>1</v>
      </c>
      <c r="M28" s="91" t="s">
        <v>0</v>
      </c>
      <c r="P28" s="91" t="s">
        <v>25</v>
      </c>
      <c r="Q28" s="91" t="s">
        <v>26</v>
      </c>
    </row>
    <row r="29" spans="1:19" ht="12.75" customHeight="1" x14ac:dyDescent="0.25">
      <c r="G29" s="50"/>
      <c r="K29" s="91" t="s">
        <v>17</v>
      </c>
      <c r="L29" s="94">
        <f>G10</f>
        <v>10.416666666666666</v>
      </c>
      <c r="M29" s="95">
        <f>F10</f>
        <v>125</v>
      </c>
      <c r="O29" s="91">
        <v>1</v>
      </c>
      <c r="P29" s="96">
        <f>I7</f>
        <v>1512216.001313485</v>
      </c>
    </row>
    <row r="30" spans="1:19" ht="12.75" customHeight="1" x14ac:dyDescent="0.25">
      <c r="A30" s="23"/>
      <c r="B30" s="23"/>
      <c r="C30" s="23"/>
      <c r="D30" s="23"/>
      <c r="E30" s="23"/>
      <c r="F30" s="23"/>
      <c r="G30" s="23"/>
      <c r="H30" s="23"/>
      <c r="I30" s="23"/>
      <c r="J30" s="23"/>
      <c r="O30" s="91">
        <v>2</v>
      </c>
      <c r="P30" s="96">
        <f>I9</f>
        <v>791667.80976158939</v>
      </c>
    </row>
    <row r="31" spans="1:19" ht="12.75" customHeight="1" x14ac:dyDescent="0.25">
      <c r="A31" s="51"/>
      <c r="B31" s="52"/>
      <c r="C31" s="52"/>
      <c r="D31" s="52"/>
      <c r="E31" s="52"/>
      <c r="F31" s="52"/>
      <c r="G31" s="52"/>
      <c r="H31" s="52"/>
      <c r="I31" s="52"/>
      <c r="J31" s="52"/>
      <c r="O31" s="91">
        <v>2</v>
      </c>
      <c r="Q31" s="96">
        <f>P30</f>
        <v>791667.80976158939</v>
      </c>
    </row>
    <row r="32" spans="1:19" ht="12.75" customHeight="1" x14ac:dyDescent="0.25">
      <c r="A32" s="21"/>
      <c r="B32" s="21"/>
      <c r="C32" s="21"/>
      <c r="D32" s="21"/>
      <c r="E32" s="21"/>
      <c r="F32" s="21"/>
      <c r="G32" s="21"/>
      <c r="H32" s="21"/>
      <c r="I32" s="21"/>
      <c r="J32" s="21"/>
      <c r="O32" s="91">
        <v>3</v>
      </c>
      <c r="Q32" s="96">
        <f>I10</f>
        <v>1540428.6197916667</v>
      </c>
    </row>
    <row r="33" spans="1:17" ht="12.75" customHeight="1" x14ac:dyDescent="0.25">
      <c r="A33" s="21"/>
      <c r="B33" s="21"/>
      <c r="C33" s="21"/>
      <c r="D33" s="21"/>
      <c r="E33" s="21"/>
      <c r="F33" s="21"/>
      <c r="G33" s="21"/>
      <c r="H33" s="21"/>
      <c r="I33" s="21"/>
      <c r="J33" s="21"/>
    </row>
    <row r="34" spans="1:17" ht="12.75" customHeight="1" x14ac:dyDescent="0.25">
      <c r="A34" s="21"/>
      <c r="B34" s="21"/>
      <c r="C34" s="21"/>
      <c r="D34" s="21"/>
      <c r="E34" s="21"/>
      <c r="F34" s="21"/>
      <c r="G34" s="21"/>
      <c r="H34" s="21"/>
      <c r="I34" s="21"/>
      <c r="J34" s="21"/>
    </row>
    <row r="35" spans="1:17" ht="12.75" customHeight="1" x14ac:dyDescent="0.25">
      <c r="A35" s="21"/>
      <c r="B35" s="21"/>
      <c r="C35" s="21"/>
      <c r="D35" s="21"/>
      <c r="E35" s="21"/>
      <c r="F35" s="21"/>
      <c r="G35" s="21"/>
      <c r="H35" s="21"/>
      <c r="I35" s="21"/>
      <c r="J35" s="21"/>
    </row>
    <row r="36" spans="1:17" ht="12.75" customHeight="1" x14ac:dyDescent="0.25">
      <c r="A36" s="23"/>
      <c r="B36" s="23"/>
      <c r="C36" s="23"/>
      <c r="D36" s="23"/>
      <c r="E36" s="23"/>
      <c r="F36" s="23"/>
      <c r="G36" s="23"/>
      <c r="H36" s="23"/>
      <c r="I36" s="23"/>
      <c r="J36" s="23"/>
      <c r="K36" s="97"/>
      <c r="L36" s="97"/>
      <c r="M36" s="97"/>
      <c r="N36" s="97"/>
      <c r="O36" s="97"/>
      <c r="P36" s="97"/>
      <c r="Q36" s="97"/>
    </row>
    <row r="37" spans="1:17" ht="12.75" customHeight="1" x14ac:dyDescent="0.25">
      <c r="A37" s="23"/>
      <c r="B37" s="23"/>
      <c r="C37" s="23"/>
      <c r="D37" s="23"/>
      <c r="E37" s="23"/>
      <c r="F37" s="23"/>
      <c r="G37" s="23"/>
      <c r="H37" s="23"/>
      <c r="I37" s="23"/>
      <c r="J37" s="23"/>
      <c r="K37" s="97"/>
      <c r="L37" s="97"/>
      <c r="M37" s="97"/>
      <c r="N37" s="97"/>
      <c r="O37" s="97"/>
      <c r="P37" s="97"/>
      <c r="Q37" s="97"/>
    </row>
    <row r="38" spans="1:17" ht="12.75" customHeight="1" x14ac:dyDescent="0.25">
      <c r="A38" s="23"/>
      <c r="B38" s="23"/>
      <c r="C38" s="23"/>
      <c r="D38" s="23"/>
      <c r="E38" s="23"/>
      <c r="F38" s="23"/>
      <c r="G38" s="23"/>
      <c r="H38" s="23"/>
      <c r="I38" s="23"/>
      <c r="J38" s="23"/>
      <c r="K38" s="97"/>
      <c r="L38" s="97"/>
      <c r="M38" s="97"/>
      <c r="N38" s="97"/>
      <c r="O38" s="97"/>
      <c r="P38" s="97"/>
      <c r="Q38" s="97"/>
    </row>
    <row r="39" spans="1:17" ht="12.75" customHeight="1" x14ac:dyDescent="0.25">
      <c r="A39" s="23"/>
      <c r="B39" s="23"/>
      <c r="C39" s="23"/>
      <c r="D39" s="23"/>
      <c r="E39" s="23"/>
      <c r="F39" s="23"/>
      <c r="G39" s="23"/>
      <c r="H39" s="23"/>
      <c r="I39" s="23"/>
      <c r="J39" s="23"/>
    </row>
    <row r="40" spans="1:17" ht="12.75" customHeight="1" x14ac:dyDescent="0.25">
      <c r="A40" s="23"/>
      <c r="B40" s="23"/>
      <c r="C40" s="23"/>
      <c r="D40" s="23"/>
      <c r="E40" s="23"/>
      <c r="F40" s="23"/>
      <c r="G40" s="23"/>
      <c r="H40" s="23"/>
      <c r="I40" s="23"/>
      <c r="J40" s="23"/>
    </row>
    <row r="41" spans="1:17" ht="12.6" customHeight="1" x14ac:dyDescent="0.25">
      <c r="A41" s="23"/>
      <c r="B41" s="23"/>
      <c r="C41" s="23"/>
      <c r="D41" s="23"/>
      <c r="E41" s="23"/>
      <c r="F41" s="23"/>
      <c r="G41" s="23"/>
      <c r="H41" s="23"/>
      <c r="I41" s="23"/>
      <c r="J41" s="23"/>
    </row>
  </sheetData>
  <sheetProtection selectLockedCells="1"/>
  <mergeCells count="3">
    <mergeCell ref="A1:A4"/>
    <mergeCell ref="B1:J4"/>
    <mergeCell ref="B5:I5"/>
  </mergeCells>
  <pageMargins left="0.7" right="0.7" top="0.75" bottom="0.75" header="0.3" footer="0.3"/>
  <pageSetup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493-B378-4811-9660-779B1B6C4612}">
  <sheetPr codeName="Sheet8"/>
  <dimension ref="A1:T250"/>
  <sheetViews>
    <sheetView showGridLines="0" zoomScale="70" zoomScaleNormal="70" workbookViewId="0">
      <selection activeCell="A30" sqref="A30"/>
    </sheetView>
  </sheetViews>
  <sheetFormatPr defaultColWidth="8.7109375" defaultRowHeight="15" x14ac:dyDescent="0.25"/>
  <cols>
    <col min="1" max="1" width="7.5703125" style="22" customWidth="1"/>
    <col min="2" max="8" width="10.5703125" style="22" customWidth="1"/>
    <col min="9" max="10" width="10.5703125" style="27" customWidth="1"/>
    <col min="11" max="11" width="5.7109375" style="22" customWidth="1"/>
    <col min="12" max="12" width="8.5703125" style="125" customWidth="1"/>
    <col min="13" max="19" width="0.28515625" style="91" customWidth="1"/>
    <col min="20" max="20" width="8.5703125" style="118" customWidth="1"/>
    <col min="21" max="16384" width="8.7109375" style="23"/>
  </cols>
  <sheetData>
    <row r="1" spans="1:19" ht="14.45" customHeight="1" x14ac:dyDescent="0.25">
      <c r="A1" s="127" t="s">
        <v>169</v>
      </c>
      <c r="B1" s="130" t="s">
        <v>48</v>
      </c>
      <c r="C1" s="131"/>
      <c r="D1" s="131"/>
      <c r="E1" s="131"/>
      <c r="F1" s="131"/>
      <c r="G1" s="131"/>
      <c r="H1" s="131"/>
      <c r="I1" s="131"/>
      <c r="J1" s="132"/>
      <c r="K1" s="87" t="s">
        <v>167</v>
      </c>
      <c r="L1" s="117"/>
    </row>
    <row r="2" spans="1:19" ht="14.45" customHeight="1" x14ac:dyDescent="0.25">
      <c r="A2" s="128"/>
      <c r="B2" s="133"/>
      <c r="C2" s="133"/>
      <c r="D2" s="133"/>
      <c r="E2" s="133"/>
      <c r="F2" s="133"/>
      <c r="G2" s="133"/>
      <c r="H2" s="133"/>
      <c r="I2" s="133"/>
      <c r="J2" s="134"/>
      <c r="K2" s="14" t="s">
        <v>64</v>
      </c>
      <c r="L2" s="119">
        <v>0</v>
      </c>
    </row>
    <row r="3" spans="1:19" ht="12.75" customHeight="1" x14ac:dyDescent="0.25">
      <c r="A3" s="128"/>
      <c r="B3" s="133"/>
      <c r="C3" s="133"/>
      <c r="D3" s="133"/>
      <c r="E3" s="133"/>
      <c r="F3" s="133"/>
      <c r="G3" s="133"/>
      <c r="H3" s="133"/>
      <c r="I3" s="133"/>
      <c r="J3" s="134"/>
      <c r="K3" s="79" t="s">
        <v>50</v>
      </c>
      <c r="L3" s="120">
        <v>0</v>
      </c>
    </row>
    <row r="4" spans="1:19" ht="12.75" customHeight="1" x14ac:dyDescent="0.25">
      <c r="A4" s="129"/>
      <c r="B4" s="135"/>
      <c r="C4" s="135"/>
      <c r="D4" s="135"/>
      <c r="E4" s="135"/>
      <c r="F4" s="135"/>
      <c r="G4" s="135"/>
      <c r="H4" s="135"/>
      <c r="I4" s="135"/>
      <c r="J4" s="136"/>
      <c r="K4" s="78" t="s">
        <v>52</v>
      </c>
      <c r="L4" s="121">
        <v>0</v>
      </c>
    </row>
    <row r="5" spans="1:19" ht="12.75" customHeight="1" x14ac:dyDescent="0.25">
      <c r="A5" s="11" t="s">
        <v>54</v>
      </c>
      <c r="B5" s="137" t="s">
        <v>41</v>
      </c>
      <c r="C5" s="137"/>
      <c r="D5" s="137"/>
      <c r="E5" s="137"/>
      <c r="F5" s="137"/>
      <c r="G5" s="137"/>
      <c r="H5" s="137"/>
      <c r="I5" s="137"/>
      <c r="J5" s="24"/>
      <c r="K5" s="15" t="s">
        <v>53</v>
      </c>
      <c r="L5" s="122">
        <v>0</v>
      </c>
      <c r="N5" s="91" t="s">
        <v>10</v>
      </c>
      <c r="O5" s="91" t="s">
        <v>11</v>
      </c>
      <c r="P5" s="91" t="s">
        <v>22</v>
      </c>
      <c r="Q5" s="91" t="s">
        <v>3</v>
      </c>
      <c r="R5" s="25" t="s">
        <v>24</v>
      </c>
      <c r="S5" s="91" t="s">
        <v>23</v>
      </c>
    </row>
    <row r="6" spans="1:19" ht="12.75" customHeight="1" x14ac:dyDescent="0.25">
      <c r="A6" s="86">
        <v>1</v>
      </c>
      <c r="B6" s="26" t="s">
        <v>12</v>
      </c>
      <c r="C6" s="26" t="s">
        <v>34</v>
      </c>
      <c r="D6" s="26" t="s">
        <v>13</v>
      </c>
      <c r="E6" s="26" t="s">
        <v>14</v>
      </c>
      <c r="F6" s="26" t="s">
        <v>0</v>
      </c>
      <c r="G6" s="26" t="s">
        <v>1</v>
      </c>
      <c r="H6" s="22" t="s">
        <v>6</v>
      </c>
      <c r="I6" s="27" t="s">
        <v>7</v>
      </c>
      <c r="J6" s="28" t="s">
        <v>55</v>
      </c>
      <c r="K6" s="16" t="s">
        <v>51</v>
      </c>
      <c r="L6" s="123">
        <v>1</v>
      </c>
      <c r="M6" s="91">
        <f>N21</f>
        <v>132.3906791817659</v>
      </c>
      <c r="N6" s="92">
        <f>O23</f>
        <v>552.75129913794569</v>
      </c>
      <c r="S6" s="29"/>
    </row>
    <row r="7" spans="1:19" ht="12.75" customHeight="1" x14ac:dyDescent="0.25">
      <c r="A7" s="9" t="s">
        <v>57</v>
      </c>
      <c r="B7" s="76">
        <f>D152</f>
        <v>8051.3477717627056</v>
      </c>
      <c r="C7" s="76">
        <f t="shared" ref="C7:G7" si="0">E152</f>
        <v>43.941488619563188</v>
      </c>
      <c r="D7" s="76">
        <f t="shared" si="0"/>
        <v>264.99999999999994</v>
      </c>
      <c r="E7" s="76">
        <f>G152</f>
        <v>85510.162600845695</v>
      </c>
      <c r="F7" s="76">
        <f t="shared" si="0"/>
        <v>2259.1400000000003</v>
      </c>
      <c r="G7" s="76">
        <f t="shared" si="0"/>
        <v>148.99</v>
      </c>
      <c r="H7" s="77">
        <f>F7/G7</f>
        <v>15.163031075911137</v>
      </c>
      <c r="I7" s="8">
        <f>(B7+C7*D7-E7/H7)*F7</f>
        <v>31755505.948199991</v>
      </c>
      <c r="J7" s="7">
        <f>I7/F7</f>
        <v>14056.457744185835</v>
      </c>
      <c r="K7" s="17" t="s">
        <v>105</v>
      </c>
      <c r="L7" s="124">
        <v>0</v>
      </c>
      <c r="M7" s="91">
        <f>M6</f>
        <v>132.3906791817659</v>
      </c>
      <c r="N7" s="92">
        <f>O21</f>
        <v>1838.6783700000005</v>
      </c>
      <c r="S7" s="29"/>
    </row>
    <row r="8" spans="1:19" ht="12.75" customHeight="1" x14ac:dyDescent="0.25">
      <c r="A8" s="9" t="s">
        <v>58</v>
      </c>
      <c r="B8" s="76">
        <f>D153</f>
        <v>8256.7627388308338</v>
      </c>
      <c r="C8" s="76">
        <f t="shared" ref="C8" si="1">E153</f>
        <v>44.000221105384554</v>
      </c>
      <c r="D8" s="76">
        <f t="shared" ref="D8" si="2">F153</f>
        <v>265.00000000000006</v>
      </c>
      <c r="E8" s="76">
        <f>G153</f>
        <v>83155.769982209677</v>
      </c>
      <c r="F8" s="76">
        <f t="shared" ref="F8" si="3">H153</f>
        <v>2107.14</v>
      </c>
      <c r="G8" s="76">
        <f t="shared" ref="G8" si="4">I153</f>
        <v>163.01000000000002</v>
      </c>
      <c r="H8" s="36">
        <f>F8/G8</f>
        <v>12.926446230292617</v>
      </c>
      <c r="I8" s="8">
        <f>(B8+C8*D8-E8/H8)*F8</f>
        <v>28412308.836200003</v>
      </c>
      <c r="J8" s="7">
        <f t="shared" ref="J8:J9" si="5">I8/F8</f>
        <v>13483.825866435076</v>
      </c>
      <c r="K8" s="17" t="s">
        <v>106</v>
      </c>
      <c r="L8" s="124">
        <v>0</v>
      </c>
      <c r="M8" s="91">
        <f>Q21</f>
        <v>179.31100000000004</v>
      </c>
      <c r="O8" s="91">
        <f>R23</f>
        <v>748.65080240010707</v>
      </c>
      <c r="S8" s="29"/>
    </row>
    <row r="9" spans="1:19" ht="12.75" customHeight="1" x14ac:dyDescent="0.25">
      <c r="A9" s="9" t="s">
        <v>59</v>
      </c>
      <c r="B9" s="76">
        <f>D154</f>
        <v>8258.9957762253434</v>
      </c>
      <c r="C9" s="76">
        <f t="shared" ref="C9" si="6">E154</f>
        <v>43.996615687603921</v>
      </c>
      <c r="D9" s="76">
        <f t="shared" ref="D9" si="7">F154</f>
        <v>265.00000000000006</v>
      </c>
      <c r="E9" s="76">
        <f>G154</f>
        <v>82976.606354365591</v>
      </c>
      <c r="F9" s="76">
        <f t="shared" ref="F9" si="8">H154</f>
        <v>2042.9759666666671</v>
      </c>
      <c r="G9" s="75">
        <f>G8+G13</f>
        <v>147.10075464640656</v>
      </c>
      <c r="H9" s="36">
        <f>J154</f>
        <v>13.888276586870481</v>
      </c>
      <c r="I9" s="8">
        <f>(B9+C9*D9-E9/H9)*F9</f>
        <v>28486276.009982694</v>
      </c>
      <c r="J9" s="7">
        <f t="shared" si="5"/>
        <v>13943.519882155582</v>
      </c>
      <c r="K9" s="17" t="s">
        <v>107</v>
      </c>
      <c r="L9" s="124">
        <v>0</v>
      </c>
      <c r="M9" s="91">
        <f>M8</f>
        <v>179.31100000000004</v>
      </c>
      <c r="O9" s="91">
        <f>R21</f>
        <v>2490.3207630683332</v>
      </c>
      <c r="S9" s="29"/>
    </row>
    <row r="10" spans="1:19" ht="12.75" customHeight="1" x14ac:dyDescent="0.25">
      <c r="A10" s="9"/>
      <c r="B10" s="30" t="s">
        <v>42</v>
      </c>
      <c r="C10" s="30"/>
      <c r="D10" s="30"/>
      <c r="E10" s="30"/>
      <c r="F10" s="30"/>
      <c r="G10" s="30"/>
      <c r="H10" s="30"/>
      <c r="I10" s="30" t="s">
        <v>43</v>
      </c>
      <c r="J10" s="31"/>
      <c r="K10" s="17" t="s">
        <v>108</v>
      </c>
      <c r="L10" s="124">
        <v>0</v>
      </c>
      <c r="M10" s="91">
        <f>N23</f>
        <v>132.3906791817659</v>
      </c>
      <c r="P10" s="92">
        <f>O23</f>
        <v>552.75129913794569</v>
      </c>
      <c r="S10" s="29"/>
    </row>
    <row r="11" spans="1:19" ht="12.75" customHeight="1" x14ac:dyDescent="0.25">
      <c r="A11" s="9"/>
      <c r="B11" s="32" t="s">
        <v>38</v>
      </c>
      <c r="C11" s="32" t="s">
        <v>39</v>
      </c>
      <c r="D11" s="33"/>
      <c r="E11" s="33" t="s">
        <v>40</v>
      </c>
      <c r="F11" s="32" t="s">
        <v>31</v>
      </c>
      <c r="G11" s="32" t="s">
        <v>29</v>
      </c>
      <c r="H11" s="33" t="s">
        <v>33</v>
      </c>
      <c r="I11" s="32" t="s">
        <v>32</v>
      </c>
      <c r="J11" s="34"/>
      <c r="K11" s="17" t="s">
        <v>109</v>
      </c>
      <c r="L11" s="124">
        <v>0</v>
      </c>
      <c r="M11" s="91">
        <f>Q23</f>
        <v>179.31100000000004</v>
      </c>
      <c r="P11" s="92">
        <f>R23</f>
        <v>748.65080240010707</v>
      </c>
      <c r="S11" s="29"/>
    </row>
    <row r="12" spans="1:19" ht="12.75" customHeight="1" x14ac:dyDescent="0.25">
      <c r="A12" s="9" t="s">
        <v>36</v>
      </c>
      <c r="B12" s="35">
        <f>B8-B7</f>
        <v>205.41496706812813</v>
      </c>
      <c r="C12" s="35">
        <f>C8*D8-C7*D7</f>
        <v>15.564108742666576</v>
      </c>
      <c r="E12" s="36">
        <f>E8-E7</f>
        <v>-2354.3926186360186</v>
      </c>
      <c r="F12" s="36">
        <f>F8-F7</f>
        <v>-152.00000000000045</v>
      </c>
      <c r="G12" s="10">
        <f>G8-G7</f>
        <v>14.02000000000001</v>
      </c>
      <c r="H12" s="10">
        <f>H8-H7</f>
        <v>-2.2365848456185198</v>
      </c>
      <c r="I12" s="37">
        <f>I8-I7</f>
        <v>-3343197.1119999886</v>
      </c>
      <c r="J12" s="38"/>
      <c r="K12" s="17" t="s">
        <v>110</v>
      </c>
      <c r="L12" s="124">
        <v>0</v>
      </c>
      <c r="S12" s="29"/>
    </row>
    <row r="13" spans="1:19" ht="12.75" customHeight="1" x14ac:dyDescent="0.25">
      <c r="A13" s="9" t="s">
        <v>35</v>
      </c>
      <c r="B13" s="35">
        <f>B9-B8</f>
        <v>2.2330373945096653</v>
      </c>
      <c r="C13" s="35">
        <f>C9*D9-C8*D8</f>
        <v>-0.9554357118668122</v>
      </c>
      <c r="E13" s="36">
        <f>E9-E8</f>
        <v>-179.16362784408557</v>
      </c>
      <c r="F13" s="36">
        <f>F9-F8</f>
        <v>-64.164033333332782</v>
      </c>
      <c r="G13" s="10">
        <f>F9/H9-G8</f>
        <v>-15.909245353593462</v>
      </c>
      <c r="H13" s="10">
        <f>H9-H8</f>
        <v>0.9618303565778632</v>
      </c>
      <c r="I13" s="37">
        <f>I9-I8</f>
        <v>73967.17378269136</v>
      </c>
      <c r="J13" s="38"/>
      <c r="K13" s="17" t="s">
        <v>111</v>
      </c>
      <c r="L13" s="124">
        <v>0</v>
      </c>
      <c r="M13" s="91">
        <f>N21</f>
        <v>132.3906791817659</v>
      </c>
      <c r="Q13" s="91">
        <f>O21</f>
        <v>1838.6783700000005</v>
      </c>
      <c r="S13" s="29"/>
    </row>
    <row r="14" spans="1:19" ht="12.75" customHeight="1" x14ac:dyDescent="0.25">
      <c r="A14" s="9"/>
      <c r="B14" s="111" t="s">
        <v>56</v>
      </c>
      <c r="C14" s="30"/>
      <c r="D14" s="30"/>
      <c r="E14" s="30"/>
      <c r="F14" s="30"/>
      <c r="G14" s="30"/>
      <c r="H14" s="30"/>
      <c r="I14" s="30" t="s">
        <v>44</v>
      </c>
      <c r="J14" s="31"/>
      <c r="K14" s="18" t="s">
        <v>112</v>
      </c>
      <c r="L14" s="121">
        <v>0</v>
      </c>
      <c r="M14" s="91">
        <f>Q21</f>
        <v>179.31100000000004</v>
      </c>
      <c r="Q14" s="91">
        <f>R21</f>
        <v>2490.3207630683332</v>
      </c>
      <c r="S14" s="29"/>
    </row>
    <row r="15" spans="1:19" ht="12.75" customHeight="1" x14ac:dyDescent="0.25">
      <c r="A15" s="9" t="s">
        <v>49</v>
      </c>
      <c r="B15" s="33" t="s">
        <v>45</v>
      </c>
      <c r="C15" s="33" t="s">
        <v>46</v>
      </c>
      <c r="D15" s="33"/>
      <c r="E15" s="39" t="s">
        <v>47</v>
      </c>
      <c r="F15" s="22" t="s">
        <v>37</v>
      </c>
      <c r="G15" s="39"/>
      <c r="H15" s="33" t="s">
        <v>30</v>
      </c>
      <c r="I15" s="32" t="s">
        <v>32</v>
      </c>
      <c r="J15" s="34"/>
      <c r="K15" s="18" t="s">
        <v>113</v>
      </c>
      <c r="L15" s="121">
        <v>0</v>
      </c>
      <c r="M15" s="93">
        <f>N25</f>
        <v>148.99</v>
      </c>
      <c r="R15" s="93">
        <f>O25</f>
        <v>2259.1400000000003</v>
      </c>
      <c r="S15" s="29"/>
    </row>
    <row r="16" spans="1:19" ht="12.75" customHeight="1" x14ac:dyDescent="0.25">
      <c r="A16" s="12">
        <f>ABS((I16-I12)/I12)</f>
        <v>1.7039242581708917E-2</v>
      </c>
      <c r="B16" s="40">
        <f>F7*(1*B12)   +(1*B12)*(F12)</f>
        <v>432838.09370793548</v>
      </c>
      <c r="C16" s="40">
        <f>F7*(1*C12)   +(1*C12)*(F12)</f>
        <v>32795.756096022451</v>
      </c>
      <c r="D16" s="40"/>
      <c r="E16" s="40">
        <f>-1*F7*(E12)/H7      -1*(F12)*(E12)/H7   +1*F7*(E12)*(H12)/H7^2   +1*(F12)*(E12)*(H12)/H7^2    -1*F7*(E12)*((H12)^2)/H7^3            -1*(F12)*(E12)*((H12)^2)/H7^3   +1*F7*(E12)*((H12)^3)/H7^4</f>
        <v>383683.60930340918</v>
      </c>
      <c r="F16" s="40">
        <f>1*(B7+C7*D7-E7/H7)*(F12)</f>
        <v>-2136581.5771162533</v>
      </c>
      <c r="G16" s="40"/>
      <c r="H16" s="40">
        <f xml:space="preserve"> (((F7+F12)*(E7+E12))/H7^2    - (((F7+F12)*(E7+E12))*H12)/H7^3  + (((F7+F12)*(E7)+F7*E12)*H12^2)/H7^4        - E7*F7*(H12^3)/(H7^5)   )*H12</f>
        <v>-1998967.4474012658</v>
      </c>
      <c r="I16" s="37">
        <f>SUM(B16:H16)</f>
        <v>-3286231.5654101521</v>
      </c>
      <c r="J16" s="38"/>
      <c r="K16" s="18" t="s">
        <v>114</v>
      </c>
      <c r="L16" s="121">
        <v>0</v>
      </c>
      <c r="M16" s="93">
        <f>Q25</f>
        <v>163.01000000000002</v>
      </c>
      <c r="R16" s="93">
        <f>R25</f>
        <v>2107.14</v>
      </c>
      <c r="S16" s="29"/>
    </row>
    <row r="17" spans="1:19" ht="12.75" customHeight="1" x14ac:dyDescent="0.25">
      <c r="A17" s="13">
        <f>ABS((I17-I13)/I13)</f>
        <v>2.7092159202486574E-2</v>
      </c>
      <c r="B17" s="41">
        <f>F8*(1*B13)   +(1*B13)*(F13)</f>
        <v>4562.0417296511996</v>
      </c>
      <c r="C17" s="41">
        <f>F8*(1*C13)   +(1*C13)*(F13)</f>
        <v>-1951.9321970389558</v>
      </c>
      <c r="D17" s="41"/>
      <c r="E17" s="42">
        <f>-1*F8*(E13)/H8      -1*(F13)*(E13)/H8   +1*F8*(E13)*(H13)/H8^2   +1*(F13)*(E13)*(H13)/H8^2    -1*F8*(E13)*((H13)^2)/H8^3            -1*(F13)*(E13)*((H13)^2)/H8^3   +1*F8*(E13)*((H13)^3)/H8^4</f>
        <v>26353.930619526531</v>
      </c>
      <c r="F17" s="43">
        <f>1*(B8+C8*D8-E8/H8)*(F13)</f>
        <v>-865176.65235479502</v>
      </c>
      <c r="G17" s="42"/>
      <c r="H17" s="43">
        <f xml:space="preserve"> (((F8+F13)*(E8+E13))/H8^2    - (((F8+F13)*(E8+E13))*H13)/H8^3  + (((F8+F13)*(E8)+F8*E13)*H13^2)/H8^4        - E8*F8*(H13^3)/(H8^5)   )*H13</f>
        <v>908175.85553746892</v>
      </c>
      <c r="I17" s="43">
        <f>SUM(B17:H17)</f>
        <v>71963.243334812694</v>
      </c>
      <c r="J17" s="44"/>
      <c r="K17" s="18" t="s">
        <v>115</v>
      </c>
      <c r="L17" s="121">
        <v>0</v>
      </c>
      <c r="M17" s="93">
        <f>Q25</f>
        <v>163.01000000000002</v>
      </c>
      <c r="S17" s="45">
        <f>R25</f>
        <v>2107.14</v>
      </c>
    </row>
    <row r="18" spans="1:19" ht="12.75" customHeight="1" x14ac:dyDescent="0.25">
      <c r="E18" s="36"/>
      <c r="F18" s="10"/>
      <c r="H18" s="27"/>
      <c r="K18" s="18" t="s">
        <v>116</v>
      </c>
      <c r="L18" s="121">
        <v>0</v>
      </c>
      <c r="M18" s="94">
        <f>N28</f>
        <v>147.10075464640656</v>
      </c>
      <c r="S18" s="45">
        <f>O28</f>
        <v>2042.9759666666671</v>
      </c>
    </row>
    <row r="19" spans="1:19" ht="12.75" customHeight="1" x14ac:dyDescent="0.25">
      <c r="E19" s="46"/>
      <c r="F19" s="10"/>
      <c r="G19" s="47"/>
      <c r="H19" s="27"/>
      <c r="K19" s="18" t="s">
        <v>117</v>
      </c>
      <c r="L19" s="121">
        <v>0</v>
      </c>
    </row>
    <row r="20" spans="1:19" ht="12.75" customHeight="1" x14ac:dyDescent="0.25">
      <c r="G20" s="49"/>
      <c r="K20" s="19" t="s">
        <v>118</v>
      </c>
      <c r="L20" s="122">
        <v>0</v>
      </c>
      <c r="N20" s="91" t="s">
        <v>1</v>
      </c>
      <c r="O20" s="91" t="s">
        <v>0</v>
      </c>
      <c r="Q20" s="91" t="s">
        <v>1</v>
      </c>
      <c r="R20" s="91" t="s">
        <v>0</v>
      </c>
      <c r="S20" s="91" t="s">
        <v>27</v>
      </c>
    </row>
    <row r="21" spans="1:19" ht="12.75" customHeight="1" x14ac:dyDescent="0.25">
      <c r="G21" s="49"/>
      <c r="K21" s="19" t="s">
        <v>119</v>
      </c>
      <c r="L21" s="122">
        <v>0</v>
      </c>
      <c r="M21" s="91" t="s">
        <v>18</v>
      </c>
      <c r="N21" s="92">
        <f>0.9*MIN(G7,G8,G9)</f>
        <v>132.3906791817659</v>
      </c>
      <c r="O21" s="92">
        <f>N21*H9</f>
        <v>1838.6783700000005</v>
      </c>
      <c r="P21" s="91" t="s">
        <v>20</v>
      </c>
      <c r="Q21" s="91">
        <f>1.1*MAX(G7,G8,G9)</f>
        <v>179.31100000000004</v>
      </c>
      <c r="R21" s="91">
        <f>H9*Q21</f>
        <v>2490.3207630683332</v>
      </c>
      <c r="S21" s="91">
        <f>INT(0.95*N21)</f>
        <v>125</v>
      </c>
    </row>
    <row r="22" spans="1:19" ht="12.75" customHeight="1" x14ac:dyDescent="0.25">
      <c r="G22" s="50"/>
      <c r="K22" s="19" t="s">
        <v>120</v>
      </c>
      <c r="L22" s="122">
        <v>0</v>
      </c>
      <c r="N22" s="91" t="s">
        <v>1</v>
      </c>
      <c r="O22" s="91" t="s">
        <v>0</v>
      </c>
      <c r="Q22" s="91" t="s">
        <v>1</v>
      </c>
      <c r="R22" s="91" t="s">
        <v>0</v>
      </c>
      <c r="S22" s="91" t="s">
        <v>28</v>
      </c>
    </row>
    <row r="23" spans="1:19" ht="12.75" customHeight="1" x14ac:dyDescent="0.25">
      <c r="G23" s="50"/>
      <c r="K23" s="19" t="s">
        <v>121</v>
      </c>
      <c r="L23" s="122">
        <v>0</v>
      </c>
      <c r="M23" s="91" t="s">
        <v>19</v>
      </c>
      <c r="N23" s="92">
        <f>N21</f>
        <v>132.3906791817659</v>
      </c>
      <c r="O23" s="92">
        <f>(E8/(B8+C8*D8))*N23</f>
        <v>552.75129913794569</v>
      </c>
      <c r="P23" s="91" t="s">
        <v>21</v>
      </c>
      <c r="Q23" s="91">
        <f>Q21</f>
        <v>179.31100000000004</v>
      </c>
      <c r="R23" s="92">
        <f>(E8/(B8+C8*D8))*Q23</f>
        <v>748.65080240010707</v>
      </c>
      <c r="S23" s="91">
        <f>ROUNDDOWN(0.95*O21,-1)</f>
        <v>1740</v>
      </c>
    </row>
    <row r="24" spans="1:19" ht="12.75" customHeight="1" x14ac:dyDescent="0.25">
      <c r="G24" s="50"/>
      <c r="K24" s="19" t="s">
        <v>122</v>
      </c>
      <c r="L24" s="122">
        <v>0</v>
      </c>
      <c r="N24" s="91" t="s">
        <v>1</v>
      </c>
      <c r="O24" s="91" t="s">
        <v>0</v>
      </c>
      <c r="Q24" s="91" t="s">
        <v>1</v>
      </c>
      <c r="R24" s="91" t="s">
        <v>0</v>
      </c>
    </row>
    <row r="25" spans="1:19" ht="12.75" customHeight="1" x14ac:dyDescent="0.25">
      <c r="G25" s="50"/>
      <c r="K25" s="19" t="s">
        <v>123</v>
      </c>
      <c r="L25" s="122">
        <v>0</v>
      </c>
      <c r="M25" s="91" t="s">
        <v>15</v>
      </c>
      <c r="N25" s="93">
        <f>G7</f>
        <v>148.99</v>
      </c>
      <c r="O25" s="93">
        <f>F7</f>
        <v>2259.1400000000003</v>
      </c>
      <c r="P25" s="91" t="s">
        <v>16</v>
      </c>
      <c r="Q25" s="93">
        <f>G8</f>
        <v>163.01000000000002</v>
      </c>
      <c r="R25" s="93">
        <f>F8</f>
        <v>2107.14</v>
      </c>
    </row>
    <row r="26" spans="1:19" ht="12.75" customHeight="1" x14ac:dyDescent="0.25">
      <c r="G26" s="50"/>
      <c r="K26" s="19" t="s">
        <v>124</v>
      </c>
      <c r="L26" s="122">
        <v>0</v>
      </c>
    </row>
    <row r="27" spans="1:19" ht="12.75" customHeight="1" x14ac:dyDescent="0.25">
      <c r="G27" s="50"/>
      <c r="K27" s="20" t="s">
        <v>125</v>
      </c>
      <c r="L27" s="123">
        <v>0</v>
      </c>
      <c r="N27" s="91" t="s">
        <v>1</v>
      </c>
      <c r="O27" s="91" t="s">
        <v>0</v>
      </c>
      <c r="R27" s="91" t="s">
        <v>25</v>
      </c>
      <c r="S27" s="91" t="s">
        <v>26</v>
      </c>
    </row>
    <row r="28" spans="1:19" ht="12.75" customHeight="1" x14ac:dyDescent="0.25">
      <c r="G28" s="50"/>
      <c r="K28" s="20" t="s">
        <v>126</v>
      </c>
      <c r="L28" s="123">
        <v>0</v>
      </c>
      <c r="M28" s="91" t="s">
        <v>17</v>
      </c>
      <c r="N28" s="94">
        <f>G9</f>
        <v>147.10075464640656</v>
      </c>
      <c r="O28" s="95">
        <f>F9</f>
        <v>2042.9759666666671</v>
      </c>
      <c r="Q28" s="91">
        <v>1</v>
      </c>
      <c r="R28" s="96">
        <f>I7</f>
        <v>31755505.948199991</v>
      </c>
    </row>
    <row r="29" spans="1:19" ht="12.75" customHeight="1" x14ac:dyDescent="0.25">
      <c r="A29" s="23"/>
      <c r="B29" s="23"/>
      <c r="C29" s="23"/>
      <c r="D29" s="23"/>
      <c r="E29" s="23"/>
      <c r="F29" s="23"/>
      <c r="G29" s="23"/>
      <c r="H29" s="23"/>
      <c r="I29" s="23"/>
      <c r="J29" s="23"/>
      <c r="K29" s="20" t="s">
        <v>127</v>
      </c>
      <c r="L29" s="123">
        <v>0</v>
      </c>
      <c r="Q29" s="91">
        <v>2</v>
      </c>
      <c r="R29" s="96">
        <f>I8</f>
        <v>28412308.836200003</v>
      </c>
    </row>
    <row r="30" spans="1:19" ht="12.75" customHeight="1" x14ac:dyDescent="0.25">
      <c r="A30" s="51"/>
      <c r="B30" s="52"/>
      <c r="C30" s="52"/>
      <c r="D30" s="52"/>
      <c r="E30" s="52"/>
      <c r="F30" s="52"/>
      <c r="G30" s="52"/>
      <c r="H30" s="52"/>
      <c r="I30" s="52"/>
      <c r="J30" s="52"/>
      <c r="K30" s="20" t="s">
        <v>128</v>
      </c>
      <c r="L30" s="123">
        <v>0</v>
      </c>
      <c r="Q30" s="91">
        <v>2</v>
      </c>
      <c r="S30" s="96">
        <f>R29</f>
        <v>28412308.836200003</v>
      </c>
    </row>
    <row r="31" spans="1:19" ht="12.75" customHeight="1" x14ac:dyDescent="0.25">
      <c r="A31" s="21"/>
      <c r="B31" s="21"/>
      <c r="C31" s="21"/>
      <c r="D31" s="21"/>
      <c r="E31" s="21"/>
      <c r="F31" s="21"/>
      <c r="G31" s="21"/>
      <c r="H31" s="21"/>
      <c r="I31" s="21"/>
      <c r="J31" s="21"/>
      <c r="K31" s="20" t="s">
        <v>129</v>
      </c>
      <c r="L31" s="123">
        <v>0</v>
      </c>
      <c r="Q31" s="91">
        <v>3</v>
      </c>
      <c r="S31" s="96">
        <f>I9</f>
        <v>28486276.009982694</v>
      </c>
    </row>
    <row r="32" spans="1:19" ht="12.75" customHeight="1" x14ac:dyDescent="0.25">
      <c r="A32" s="21"/>
      <c r="B32" s="21"/>
      <c r="C32" s="21"/>
      <c r="D32" s="21"/>
      <c r="E32" s="21"/>
      <c r="F32" s="21"/>
      <c r="G32" s="21"/>
      <c r="H32" s="21"/>
      <c r="I32" s="21"/>
      <c r="J32" s="21"/>
      <c r="K32" s="20" t="s">
        <v>130</v>
      </c>
      <c r="L32" s="123">
        <v>0</v>
      </c>
    </row>
    <row r="33" spans="1:19" ht="12.75" customHeight="1" x14ac:dyDescent="0.25">
      <c r="A33" s="21"/>
      <c r="B33" s="21"/>
      <c r="C33" s="21"/>
      <c r="D33" s="21"/>
      <c r="E33" s="21"/>
      <c r="F33" s="21"/>
      <c r="G33" s="21"/>
      <c r="H33" s="21"/>
      <c r="I33" s="21"/>
      <c r="J33" s="21"/>
      <c r="K33" s="20" t="s">
        <v>136</v>
      </c>
      <c r="L33" s="123">
        <v>0</v>
      </c>
    </row>
    <row r="34" spans="1:19" ht="12.75" customHeight="1" x14ac:dyDescent="0.25">
      <c r="A34" s="21"/>
      <c r="B34" s="21"/>
      <c r="C34" s="21"/>
      <c r="D34" s="21"/>
      <c r="E34" s="21"/>
      <c r="F34" s="21"/>
      <c r="G34" s="21"/>
      <c r="H34" s="21"/>
      <c r="I34" s="21"/>
      <c r="J34" s="21"/>
      <c r="K34" s="20" t="s">
        <v>135</v>
      </c>
      <c r="L34" s="123">
        <v>0</v>
      </c>
    </row>
    <row r="35" spans="1:19" ht="12.75" customHeight="1" x14ac:dyDescent="0.25">
      <c r="A35" s="23"/>
      <c r="B35" s="23"/>
      <c r="C35" s="23"/>
      <c r="D35" s="23"/>
      <c r="E35" s="23"/>
      <c r="F35" s="23"/>
      <c r="G35" s="23"/>
      <c r="H35" s="23"/>
      <c r="I35" s="23"/>
      <c r="J35" s="23"/>
      <c r="K35" s="20" t="s">
        <v>134</v>
      </c>
      <c r="L35" s="123">
        <v>0</v>
      </c>
      <c r="M35" s="97"/>
      <c r="N35" s="97"/>
      <c r="O35" s="97"/>
      <c r="P35" s="97"/>
      <c r="Q35" s="97"/>
      <c r="R35" s="97"/>
      <c r="S35" s="97"/>
    </row>
    <row r="36" spans="1:19" ht="12.75" customHeight="1" x14ac:dyDescent="0.25">
      <c r="A36" s="23"/>
      <c r="B36" s="23"/>
      <c r="C36" s="23"/>
      <c r="D36" s="23"/>
      <c r="E36" s="23"/>
      <c r="F36" s="23"/>
      <c r="G36" s="23"/>
      <c r="H36" s="23"/>
      <c r="I36" s="23"/>
      <c r="J36" s="23"/>
      <c r="K36" s="20" t="s">
        <v>137</v>
      </c>
      <c r="L36" s="123">
        <v>0</v>
      </c>
      <c r="M36" s="97"/>
      <c r="N36" s="97"/>
      <c r="O36" s="97"/>
      <c r="P36" s="97"/>
      <c r="Q36" s="97"/>
      <c r="R36" s="97"/>
      <c r="S36" s="97"/>
    </row>
    <row r="37" spans="1:19" ht="12.75" customHeight="1" x14ac:dyDescent="0.25">
      <c r="A37" s="23"/>
      <c r="B37" s="23"/>
      <c r="C37" s="23"/>
      <c r="D37" s="23"/>
      <c r="E37" s="23"/>
      <c r="F37" s="23"/>
      <c r="G37" s="23"/>
      <c r="H37" s="23"/>
      <c r="I37" s="23"/>
      <c r="J37" s="23"/>
      <c r="K37" s="20" t="s">
        <v>138</v>
      </c>
      <c r="L37" s="123">
        <v>0</v>
      </c>
      <c r="M37" s="97"/>
      <c r="N37" s="97"/>
      <c r="O37" s="97"/>
      <c r="P37" s="97"/>
      <c r="Q37" s="97"/>
      <c r="R37" s="97"/>
      <c r="S37" s="97"/>
    </row>
    <row r="38" spans="1:19" ht="12.75" customHeight="1" x14ac:dyDescent="0.25">
      <c r="A38" s="23"/>
      <c r="B38" s="23"/>
      <c r="C38" s="23"/>
      <c r="D38" s="23"/>
      <c r="E38" s="23"/>
      <c r="F38" s="23"/>
      <c r="G38" s="23"/>
      <c r="H38" s="23"/>
      <c r="I38" s="23"/>
      <c r="J38" s="23"/>
    </row>
    <row r="39" spans="1:19" ht="12.75" customHeight="1" x14ac:dyDescent="0.25">
      <c r="A39" s="23"/>
      <c r="B39" s="23"/>
      <c r="C39" s="23"/>
      <c r="D39" s="23"/>
      <c r="E39" s="23"/>
      <c r="F39" s="23"/>
      <c r="G39" s="23"/>
      <c r="H39" s="23"/>
      <c r="I39" s="23"/>
      <c r="J39" s="23"/>
    </row>
    <row r="40" spans="1:19" ht="12.6" customHeight="1" x14ac:dyDescent="0.25">
      <c r="A40" s="23"/>
      <c r="B40" s="23"/>
      <c r="C40" s="23"/>
      <c r="D40" s="23"/>
      <c r="E40" s="23"/>
      <c r="F40" s="23"/>
      <c r="G40" s="23"/>
      <c r="H40" s="23"/>
      <c r="I40" s="23"/>
      <c r="J40" s="23"/>
    </row>
    <row r="41" spans="1:19" ht="12.6" customHeight="1" x14ac:dyDescent="0.25">
      <c r="A41" s="23"/>
      <c r="B41" s="90" t="s">
        <v>168</v>
      </c>
      <c r="C41" s="23"/>
      <c r="D41" s="102">
        <v>0</v>
      </c>
      <c r="E41" s="102">
        <v>0</v>
      </c>
      <c r="F41" s="102">
        <v>0</v>
      </c>
      <c r="G41" s="102">
        <v>0</v>
      </c>
      <c r="H41" s="23"/>
      <c r="I41" s="23"/>
      <c r="J41" s="23"/>
    </row>
    <row r="42" spans="1:19" ht="12.75" customHeight="1" x14ac:dyDescent="0.25">
      <c r="A42" s="53" t="s">
        <v>98</v>
      </c>
      <c r="B42" s="53" t="s">
        <v>99</v>
      </c>
      <c r="C42" s="53" t="s">
        <v>100</v>
      </c>
      <c r="D42" s="54" t="s">
        <v>12</v>
      </c>
      <c r="E42" s="54" t="s">
        <v>34</v>
      </c>
      <c r="F42" s="54" t="s">
        <v>13</v>
      </c>
      <c r="G42" s="54" t="s">
        <v>14</v>
      </c>
      <c r="H42" s="54" t="s">
        <v>0</v>
      </c>
      <c r="I42" s="54" t="s">
        <v>1</v>
      </c>
      <c r="J42" s="54" t="s">
        <v>6</v>
      </c>
      <c r="K42" s="22" t="s">
        <v>170</v>
      </c>
      <c r="L42" s="125" t="s">
        <v>171</v>
      </c>
      <c r="M42" s="98" t="s">
        <v>7</v>
      </c>
      <c r="N42" s="98" t="s">
        <v>60</v>
      </c>
      <c r="O42" s="98" t="s">
        <v>61</v>
      </c>
      <c r="P42" s="98" t="s">
        <v>62</v>
      </c>
      <c r="Q42" s="98" t="s">
        <v>63</v>
      </c>
      <c r="R42" s="91" t="s">
        <v>104</v>
      </c>
    </row>
    <row r="43" spans="1:19" ht="12.75" hidden="1" customHeight="1" x14ac:dyDescent="0.25">
      <c r="A43" s="27" t="s">
        <v>65</v>
      </c>
      <c r="B43" s="55" t="s">
        <v>64</v>
      </c>
      <c r="C43" s="55" t="s">
        <v>103</v>
      </c>
      <c r="D43" s="56">
        <f>SUM(N46,N49,N52,N55)/SUM(H46,H49,H52,H55)</f>
        <v>9033.2750866621664</v>
      </c>
      <c r="E43" s="56">
        <f>SUM(O46,O49,O52,O55)/SUM(H46,H49,H52,H55)</f>
        <v>41.635242124423833</v>
      </c>
      <c r="F43" s="56">
        <f t="shared" ref="F43:G45" si="9">SUM(P46,P49,P52,P55)/SUM(H46,H49,H52,H55)</f>
        <v>265</v>
      </c>
      <c r="G43" s="56">
        <f t="shared" si="9"/>
        <v>89152.760038689434</v>
      </c>
      <c r="H43" s="56">
        <f>SUM(H46,H49,H52,H55)</f>
        <v>8515.25</v>
      </c>
      <c r="I43" s="56">
        <f>SUM(I46,I49,I52,I55)</f>
        <v>491.09000000000003</v>
      </c>
      <c r="J43" s="56">
        <f>H43/I43</f>
        <v>17.339489706571097</v>
      </c>
      <c r="M43" s="57">
        <f t="shared" ref="M43:M74" si="10">(D43+E43*F43-G43/J43)*H43</f>
        <v>127090208.06180005</v>
      </c>
      <c r="N43" s="57"/>
      <c r="O43" s="57"/>
      <c r="P43" s="57"/>
      <c r="Q43" s="57"/>
    </row>
    <row r="44" spans="1:19" ht="12.75" hidden="1" customHeight="1" x14ac:dyDescent="0.25">
      <c r="A44" s="27" t="s">
        <v>97</v>
      </c>
      <c r="B44" s="55" t="s">
        <v>64</v>
      </c>
      <c r="C44" s="55" t="s">
        <v>103</v>
      </c>
      <c r="D44" s="56">
        <f>SUM(N47,N50,N53,N56)/SUM(H47,H50,H53,H56)</f>
        <v>9274.0999622845939</v>
      </c>
      <c r="E44" s="56">
        <f>SUM(O47,O50,O53,O56)/SUM(H47,H50,H53,H56)</f>
        <v>41.502862972999445</v>
      </c>
      <c r="F44" s="56">
        <f t="shared" si="9"/>
        <v>265</v>
      </c>
      <c r="G44" s="56">
        <f t="shared" si="9"/>
        <v>87764.320171273575</v>
      </c>
      <c r="H44" s="56">
        <f t="shared" ref="H44:I44" si="11">SUM(H47,H50,H53,H56)</f>
        <v>8269.83</v>
      </c>
      <c r="I44" s="56">
        <f t="shared" si="11"/>
        <v>505.03999999999996</v>
      </c>
      <c r="J44" s="56">
        <f t="shared" ref="J44" si="12">H44/I44</f>
        <v>16.374603991763031</v>
      </c>
      <c r="M44" s="57">
        <f t="shared" si="10"/>
        <v>123324467.47630002</v>
      </c>
      <c r="N44" s="57"/>
      <c r="O44" s="57"/>
      <c r="P44" s="57"/>
      <c r="Q44" s="57"/>
      <c r="R44" s="92"/>
    </row>
    <row r="45" spans="1:19" ht="12.75" hidden="1" customHeight="1" x14ac:dyDescent="0.25">
      <c r="A45" s="27" t="s">
        <v>101</v>
      </c>
      <c r="B45" s="55" t="s">
        <v>64</v>
      </c>
      <c r="C45" s="55" t="s">
        <v>103</v>
      </c>
      <c r="D45" s="56">
        <f>SUM(N48,N51,N54,N57)/SUM(H48,H51,H54,H57)</f>
        <v>9284.9384979698862</v>
      </c>
      <c r="E45" s="56">
        <f>SUM(O48,O51,O54,O57)/SUM(H48,H51,H54,H57)</f>
        <v>41.455732136955902</v>
      </c>
      <c r="F45" s="56">
        <f t="shared" si="9"/>
        <v>265</v>
      </c>
      <c r="G45" s="56">
        <f t="shared" si="9"/>
        <v>87869.272774121928</v>
      </c>
      <c r="H45" s="56">
        <f t="shared" ref="H45" si="13">SUM(H48,H51,H54,H57)</f>
        <v>8069.2904361111141</v>
      </c>
      <c r="I45" s="58">
        <f>H45/J45</f>
        <v>461.82854516629868</v>
      </c>
      <c r="J45" s="59">
        <f xml:space="preserve">  G45*H45/(  (D45+E45*F45)*H45 -   SUM(R48,R51,R54,R57)    -  (D44+E44*F44-G44/J44)*H44   )</f>
        <v>17.47248090350384</v>
      </c>
      <c r="M45" s="57">
        <f t="shared" si="10"/>
        <v>122989687.86795636</v>
      </c>
      <c r="N45" s="57"/>
      <c r="O45" s="57"/>
      <c r="P45" s="57"/>
      <c r="Q45" s="57"/>
      <c r="R45" s="92"/>
    </row>
    <row r="46" spans="1:19" ht="12.75" hidden="1" customHeight="1" x14ac:dyDescent="0.25">
      <c r="A46" s="27" t="s">
        <v>65</v>
      </c>
      <c r="B46" s="60" t="s">
        <v>50</v>
      </c>
      <c r="C46" s="60" t="s">
        <v>102</v>
      </c>
      <c r="D46" s="61">
        <f>SUM(N58:N64)/SUM(H58:H64)</f>
        <v>9992.001509384414</v>
      </c>
      <c r="E46" s="61">
        <f>SUM(O58:O64)/SUM(H58:H64)</f>
        <v>34.709918745655365</v>
      </c>
      <c r="F46" s="61">
        <f>SUM(P58:P64)/SUM(H58:H64)</f>
        <v>265</v>
      </c>
      <c r="G46" s="61">
        <f>SUM(Q58:Q65)/SUM(I58:I64)</f>
        <v>96765.931750954915</v>
      </c>
      <c r="H46" s="61">
        <f>SUM(H58:H64)</f>
        <v>1294.7</v>
      </c>
      <c r="I46" s="61">
        <f>SUM(I58:I64)</f>
        <v>65.45</v>
      </c>
      <c r="J46" s="61">
        <f>H46/I46</f>
        <v>19.781512605042018</v>
      </c>
      <c r="M46" s="57">
        <f t="shared" si="10"/>
        <v>18512131.048100006</v>
      </c>
      <c r="N46" s="57">
        <f t="shared" ref="N46:N77" si="14">D46*H46</f>
        <v>12936644.354200002</v>
      </c>
      <c r="O46" s="57">
        <f t="shared" ref="O46:O77" si="15">E46*H46</f>
        <v>44938.931800000006</v>
      </c>
      <c r="P46" s="57">
        <f t="shared" ref="P46:P77" si="16">F46*H46</f>
        <v>343095.5</v>
      </c>
      <c r="Q46" s="57">
        <f t="shared" ref="Q46:Q77" si="17">G46*I46</f>
        <v>6333330.2330999998</v>
      </c>
      <c r="R46" s="92"/>
    </row>
    <row r="47" spans="1:19" ht="12.75" hidden="1" customHeight="1" x14ac:dyDescent="0.25">
      <c r="A47" s="27" t="s">
        <v>97</v>
      </c>
      <c r="B47" s="60" t="s">
        <v>50</v>
      </c>
      <c r="C47" s="60" t="s">
        <v>102</v>
      </c>
      <c r="D47" s="61">
        <f>SUM(N89:N95)/SUM(H89:H95)</f>
        <v>9829.907887571615</v>
      </c>
      <c r="E47" s="61">
        <f>SUM(O89:O95)/SUM(H89:H95)</f>
        <v>34.060005510400885</v>
      </c>
      <c r="F47" s="61">
        <f>SUM(P89:P95)/SUM(H89:H95)</f>
        <v>265</v>
      </c>
      <c r="G47" s="61">
        <f>SUM(Q89:Q95)/SUM(I89:I95)</f>
        <v>80284.05526180836</v>
      </c>
      <c r="H47" s="61">
        <f>SUM(H89:H95)</f>
        <v>1234.03</v>
      </c>
      <c r="I47" s="61">
        <f>SUM(I89:I95)</f>
        <v>74.099999999999994</v>
      </c>
      <c r="J47" s="61">
        <f>H47/I47</f>
        <v>16.65357624831309</v>
      </c>
      <c r="M47" s="57">
        <f t="shared" si="10"/>
        <v>17319585.9146</v>
      </c>
      <c r="N47" s="57">
        <f t="shared" si="14"/>
        <v>12130401.2305</v>
      </c>
      <c r="O47" s="57">
        <f t="shared" si="15"/>
        <v>42031.068600000006</v>
      </c>
      <c r="P47" s="57">
        <f t="shared" si="16"/>
        <v>327017.95</v>
      </c>
      <c r="Q47" s="57">
        <f t="shared" si="17"/>
        <v>5949048.4948999994</v>
      </c>
      <c r="R47" s="92"/>
    </row>
    <row r="48" spans="1:19" ht="12.75" hidden="1" customHeight="1" x14ac:dyDescent="0.25">
      <c r="A48" s="62" t="s">
        <v>101</v>
      </c>
      <c r="B48" s="60" t="s">
        <v>50</v>
      </c>
      <c r="C48" s="60" t="s">
        <v>102</v>
      </c>
      <c r="D48" s="61">
        <f>SUM(N120:N126)/SUM(H120:H126)</f>
        <v>9801.370045053236</v>
      </c>
      <c r="E48" s="61">
        <f>SUM(O120:O126)/SUM(H120:H126)</f>
        <v>33.877657150884218</v>
      </c>
      <c r="F48" s="61">
        <f>SUM(P120:P126)/SUM(H120:H126)</f>
        <v>265</v>
      </c>
      <c r="G48" s="61">
        <f>SUM(Q120:Q126)/SUM(I120:I126)</f>
        <v>80276.84211047909</v>
      </c>
      <c r="H48" s="61">
        <f>SUM(H120:H126)</f>
        <v>1202.2813888888893</v>
      </c>
      <c r="I48" s="61">
        <f>H48/J48</f>
        <v>68.06539621421868</v>
      </c>
      <c r="J48" s="63">
        <f xml:space="preserve">  G48*H48/(  (D48+E48*F48)*H48 -   SUM(R120:R126)    -  (D47+E47*F47-G47/J47)*H47   )</f>
        <v>17.663621395885386</v>
      </c>
      <c r="M48" s="57">
        <f t="shared" si="10"/>
        <v>17113506.048996199</v>
      </c>
      <c r="N48" s="57">
        <f t="shared" si="14"/>
        <v>11784004.790780559</v>
      </c>
      <c r="O48" s="57">
        <f t="shared" si="15"/>
        <v>40730.476691666692</v>
      </c>
      <c r="P48" s="57">
        <f t="shared" si="16"/>
        <v>318604.56805555569</v>
      </c>
      <c r="Q48" s="57">
        <f t="shared" si="17"/>
        <v>5464075.0650760345</v>
      </c>
      <c r="R48" s="92">
        <f>M48-M47</f>
        <v>-206079.86560380086</v>
      </c>
      <c r="S48" s="99"/>
    </row>
    <row r="49" spans="1:20" ht="12.75" hidden="1" customHeight="1" x14ac:dyDescent="0.25">
      <c r="A49" s="27" t="s">
        <v>65</v>
      </c>
      <c r="B49" s="64" t="s">
        <v>52</v>
      </c>
      <c r="C49" s="64" t="s">
        <v>102</v>
      </c>
      <c r="D49" s="65">
        <f>SUM(N65:N70)/SUM(H65:H70)</f>
        <v>10340.906765583875</v>
      </c>
      <c r="E49" s="65">
        <f>SUM(O65:O70)/SUM(H65:H70)</f>
        <v>40.945973839635364</v>
      </c>
      <c r="F49" s="65">
        <f>SUM(P65:P70)/SUM(H65:H70)</f>
        <v>265.00000000000006</v>
      </c>
      <c r="G49" s="65">
        <f>SUM(Q65:Q70)/SUM(I65:I70)</f>
        <v>84048.146196249159</v>
      </c>
      <c r="H49" s="65">
        <f>SUM(H65:H70)</f>
        <v>3115.3999999999996</v>
      </c>
      <c r="I49" s="65">
        <f>SUM(I65:I70)</f>
        <v>149.30000000000001</v>
      </c>
      <c r="J49" s="65">
        <f t="shared" ref="J49:J56" si="18">H49/I49</f>
        <v>20.866711319490953</v>
      </c>
      <c r="M49" s="57">
        <f t="shared" si="10"/>
        <v>53471890.738900021</v>
      </c>
      <c r="N49" s="57">
        <f t="shared" si="14"/>
        <v>32216060.9375</v>
      </c>
      <c r="O49" s="57">
        <f t="shared" si="15"/>
        <v>127563.08689999999</v>
      </c>
      <c r="P49" s="57">
        <f t="shared" si="16"/>
        <v>825581.00000000012</v>
      </c>
      <c r="Q49" s="57">
        <f t="shared" si="17"/>
        <v>12548388.2271</v>
      </c>
      <c r="R49" s="92"/>
    </row>
    <row r="50" spans="1:20" ht="12.75" hidden="1" customHeight="1" x14ac:dyDescent="0.25">
      <c r="A50" s="27" t="s">
        <v>97</v>
      </c>
      <c r="B50" s="64" t="s">
        <v>52</v>
      </c>
      <c r="C50" s="64" t="s">
        <v>102</v>
      </c>
      <c r="D50" s="65">
        <f>SUM(N96:N101)/SUM(H96:H101)</f>
        <v>10741.240251803903</v>
      </c>
      <c r="E50" s="65">
        <f>SUM(O96:O101)/SUM(H96:H101)</f>
        <v>40.81702815836902</v>
      </c>
      <c r="F50" s="65">
        <f>SUM(P96:P101)/SUM(H96:H101)</f>
        <v>265</v>
      </c>
      <c r="G50" s="65">
        <f>SUM(Q96:Q101)/SUM(I96:I101)</f>
        <v>85916.19006367246</v>
      </c>
      <c r="H50" s="65">
        <f>SUM(H96:H101)</f>
        <v>3096.0600000000004</v>
      </c>
      <c r="I50" s="65">
        <f>SUM(I96:I101)</f>
        <v>146.06</v>
      </c>
      <c r="J50" s="65">
        <f t="shared" si="18"/>
        <v>21.197179241407643</v>
      </c>
      <c r="M50" s="57">
        <f t="shared" si="10"/>
        <v>54195177.146299995</v>
      </c>
      <c r="N50" s="57">
        <f t="shared" si="14"/>
        <v>33255524.293999996</v>
      </c>
      <c r="O50" s="57">
        <f t="shared" si="15"/>
        <v>126371.9682</v>
      </c>
      <c r="P50" s="57">
        <f t="shared" si="16"/>
        <v>820455.90000000014</v>
      </c>
      <c r="Q50" s="57">
        <f t="shared" si="17"/>
        <v>12548918.720699999</v>
      </c>
      <c r="R50" s="92"/>
    </row>
    <row r="51" spans="1:20" ht="12.75" hidden="1" customHeight="1" x14ac:dyDescent="0.25">
      <c r="A51" s="62" t="s">
        <v>101</v>
      </c>
      <c r="B51" s="64" t="s">
        <v>52</v>
      </c>
      <c r="C51" s="64" t="s">
        <v>102</v>
      </c>
      <c r="D51" s="65">
        <f>SUM(N127:N132)/SUM(H127:H132)</f>
        <v>10792.642963706234</v>
      </c>
      <c r="E51" s="65">
        <f>SUM(O127:O132)/SUM(H127:H132)</f>
        <v>40.746235606906716</v>
      </c>
      <c r="F51" s="65">
        <f>SUM(P127:P132)/SUM(H127:H132)</f>
        <v>265</v>
      </c>
      <c r="G51" s="65">
        <f>SUM(Q127:Q132)/SUM(I127:I132)</f>
        <v>86325.726238447969</v>
      </c>
      <c r="H51" s="65">
        <f>SUM(H127:H132)</f>
        <v>3012.641191666668</v>
      </c>
      <c r="I51" s="65">
        <f>H51/J51</f>
        <v>133.89015143225549</v>
      </c>
      <c r="J51" s="66">
        <f xml:space="preserve">  G51*H51/(  (D51+E51*F51)*H51 -   SUM(R127:R132)    -  (D50+E50*F50-G50/J50)*H50   )</f>
        <v>22.50084236547433</v>
      </c>
      <c r="M51" s="57">
        <f t="shared" si="10"/>
        <v>53485949.966449</v>
      </c>
      <c r="N51" s="57">
        <f t="shared" si="14"/>
        <v>32514360.759412829</v>
      </c>
      <c r="O51" s="57">
        <f t="shared" si="15"/>
        <v>122753.78779472226</v>
      </c>
      <c r="P51" s="57">
        <f t="shared" si="16"/>
        <v>798349.91579166707</v>
      </c>
      <c r="Q51" s="57">
        <f t="shared" si="17"/>
        <v>11558164.558565229</v>
      </c>
      <c r="R51" s="92">
        <f>M51-M50</f>
        <v>-709227.17985099554</v>
      </c>
    </row>
    <row r="52" spans="1:20" ht="12.75" hidden="1" customHeight="1" x14ac:dyDescent="0.25">
      <c r="A52" s="27" t="s">
        <v>65</v>
      </c>
      <c r="B52" s="67" t="s">
        <v>53</v>
      </c>
      <c r="C52" s="67" t="s">
        <v>102</v>
      </c>
      <c r="D52" s="68">
        <f>SUM(N71:N77)/SUM(H71:H77)</f>
        <v>7355.739451519763</v>
      </c>
      <c r="E52" s="68">
        <f>SUM(O71:O77)/SUM(H71:H77)</f>
        <v>44.833181943759783</v>
      </c>
      <c r="F52" s="68">
        <f>SUM(P71:P77)/SUM(H71:H77)</f>
        <v>264.99999999999994</v>
      </c>
      <c r="G52" s="68">
        <f>SUM(Q71:Q77)/SUM(I71:I77)</f>
        <v>95486.072566156261</v>
      </c>
      <c r="H52" s="68">
        <f>SUM(H71:H77)</f>
        <v>1846.0100000000002</v>
      </c>
      <c r="I52" s="68">
        <f>SUM(I71:I77)</f>
        <v>127.35</v>
      </c>
      <c r="J52" s="68">
        <f t="shared" si="18"/>
        <v>14.495563407930902</v>
      </c>
      <c r="M52" s="57">
        <f t="shared" si="10"/>
        <v>23350680.326600004</v>
      </c>
      <c r="N52" s="57">
        <f t="shared" si="14"/>
        <v>13578768.584899999</v>
      </c>
      <c r="O52" s="57">
        <f t="shared" si="15"/>
        <v>82762.502200000003</v>
      </c>
      <c r="P52" s="57">
        <f t="shared" si="16"/>
        <v>489192.64999999997</v>
      </c>
      <c r="Q52" s="57">
        <f t="shared" si="17"/>
        <v>12160151.3413</v>
      </c>
      <c r="R52" s="92"/>
    </row>
    <row r="53" spans="1:20" ht="12.75" hidden="1" customHeight="1" x14ac:dyDescent="0.25">
      <c r="A53" s="27" t="s">
        <v>97</v>
      </c>
      <c r="B53" s="67" t="s">
        <v>53</v>
      </c>
      <c r="C53" s="67" t="s">
        <v>102</v>
      </c>
      <c r="D53" s="68">
        <f>SUM(N102:N108)/SUM(H102:H108)</f>
        <v>7590.9361175924914</v>
      </c>
      <c r="E53" s="68">
        <f>SUM(O102:O108)/SUM(H102:H108)</f>
        <v>44.801898177452792</v>
      </c>
      <c r="F53" s="68">
        <f>SUM(P102:P108)/SUM(H102:H108)</f>
        <v>265</v>
      </c>
      <c r="G53" s="68">
        <f>SUM(Q102:Q108)/SUM(I102:I108)</f>
        <v>100691.74512923608</v>
      </c>
      <c r="H53" s="68">
        <f>SUM(H102:H108)</f>
        <v>1832.6000000000001</v>
      </c>
      <c r="I53" s="68">
        <f>SUM(I102:I108)</f>
        <v>121.87</v>
      </c>
      <c r="J53" s="68">
        <f t="shared" si="18"/>
        <v>15.037334865020103</v>
      </c>
      <c r="M53" s="57">
        <f t="shared" si="10"/>
        <v>23397395.579199996</v>
      </c>
      <c r="N53" s="57">
        <f t="shared" si="14"/>
        <v>13911149.529100001</v>
      </c>
      <c r="O53" s="57">
        <f t="shared" si="15"/>
        <v>82103.958599999998</v>
      </c>
      <c r="P53" s="57">
        <f t="shared" si="16"/>
        <v>485639.00000000006</v>
      </c>
      <c r="Q53" s="57">
        <f t="shared" si="17"/>
        <v>12271302.9789</v>
      </c>
      <c r="R53" s="92"/>
    </row>
    <row r="54" spans="1:20" ht="12.75" hidden="1" customHeight="1" x14ac:dyDescent="0.25">
      <c r="A54" s="62" t="s">
        <v>101</v>
      </c>
      <c r="B54" s="67" t="s">
        <v>53</v>
      </c>
      <c r="C54" s="67" t="s">
        <v>102</v>
      </c>
      <c r="D54" s="68">
        <f>SUM(N133:N139)/SUM(H133:H139)</f>
        <v>7591.7144578582811</v>
      </c>
      <c r="E54" s="68">
        <f>SUM(O133:O139)/SUM(H133:H139)</f>
        <v>44.799830672569961</v>
      </c>
      <c r="F54" s="68">
        <f>SUM(P133:P139)/SUM(H133:H139)</f>
        <v>264.99999999999994</v>
      </c>
      <c r="G54" s="68">
        <f>SUM(Q133:Q139)/SUM(I133:I139)</f>
        <v>100666.41475304951</v>
      </c>
      <c r="H54" s="68">
        <f>SUM(H133:H139)</f>
        <v>1811.3918888888904</v>
      </c>
      <c r="I54" s="68">
        <f>H54/J54</f>
        <v>112.77224287341811</v>
      </c>
      <c r="J54" s="69">
        <f xml:space="preserve">  G54*H54/(  (D54+E54*F54)*H54 -   SUM(R133:R139)    -  (D53+E53*F53-G53/J53)*H53   )</f>
        <v>16.062391265216728</v>
      </c>
      <c r="M54" s="57">
        <f t="shared" si="10"/>
        <v>23903955.842528436</v>
      </c>
      <c r="N54" s="57">
        <f t="shared" si="14"/>
        <v>13751569.991725011</v>
      </c>
      <c r="O54" s="57">
        <f t="shared" si="15"/>
        <v>81150.049903888954</v>
      </c>
      <c r="P54" s="57">
        <f t="shared" si="16"/>
        <v>480018.85055555584</v>
      </c>
      <c r="Q54" s="57">
        <f t="shared" si="17"/>
        <v>11352377.373727139</v>
      </c>
      <c r="R54" s="92">
        <f t="shared" ref="R54:R57" si="19">M54-M53</f>
        <v>506560.26332844049</v>
      </c>
    </row>
    <row r="55" spans="1:20" ht="12.75" hidden="1" customHeight="1" x14ac:dyDescent="0.25">
      <c r="A55" s="27" t="s">
        <v>65</v>
      </c>
      <c r="B55" s="70" t="s">
        <v>51</v>
      </c>
      <c r="C55" s="70" t="s">
        <v>102</v>
      </c>
      <c r="D55" s="71">
        <f>SUM(N78:N88)/SUM(H78:H88)</f>
        <v>8051.3477717627056</v>
      </c>
      <c r="E55" s="71">
        <f>SUM(O78:O88)/SUM(H78:H88)</f>
        <v>43.941488619563188</v>
      </c>
      <c r="F55" s="71">
        <f>SUM(P78:P88)/SUM(H78:H88)</f>
        <v>264.99999999999994</v>
      </c>
      <c r="G55" s="71">
        <f>SUM(Q78:Q88)/SUM(I78:I88)</f>
        <v>85510.162600845695</v>
      </c>
      <c r="H55" s="71">
        <f>SUM(H78:H88)</f>
        <v>2259.1400000000003</v>
      </c>
      <c r="I55" s="71">
        <f>SUM(I78:I88)</f>
        <v>148.99</v>
      </c>
      <c r="J55" s="71">
        <f t="shared" si="18"/>
        <v>15.163031075911137</v>
      </c>
      <c r="M55" s="57">
        <f t="shared" si="10"/>
        <v>31755505.948199991</v>
      </c>
      <c r="N55" s="57">
        <f t="shared" si="14"/>
        <v>18189121.805100001</v>
      </c>
      <c r="O55" s="57">
        <f t="shared" si="15"/>
        <v>99269.974600000001</v>
      </c>
      <c r="P55" s="57">
        <f t="shared" si="16"/>
        <v>598672.1</v>
      </c>
      <c r="Q55" s="57">
        <f t="shared" si="17"/>
        <v>12740159.1259</v>
      </c>
      <c r="R55" s="92"/>
    </row>
    <row r="56" spans="1:20" ht="12.75" hidden="1" customHeight="1" x14ac:dyDescent="0.25">
      <c r="A56" s="27" t="s">
        <v>97</v>
      </c>
      <c r="B56" s="70" t="s">
        <v>51</v>
      </c>
      <c r="C56" s="70" t="s">
        <v>102</v>
      </c>
      <c r="D56" s="71">
        <f>SUM(N109:N119)/SUM(H109:H119)</f>
        <v>8256.7627388308338</v>
      </c>
      <c r="E56" s="71">
        <f>SUM(O109:O119)/SUM(H109:H119)</f>
        <v>44.000221105384554</v>
      </c>
      <c r="F56" s="71">
        <f>SUM(P109:P119)/SUM(H109:H119)</f>
        <v>265.00000000000006</v>
      </c>
      <c r="G56" s="71">
        <f>SUM(Q109:Q119)/SUM(I109:I119)</f>
        <v>83155.769982209677</v>
      </c>
      <c r="H56" s="71">
        <f>SUM(H109:H119)</f>
        <v>2107.14</v>
      </c>
      <c r="I56" s="71">
        <f>SUM(I109:I119)</f>
        <v>163.01000000000002</v>
      </c>
      <c r="J56" s="71">
        <f t="shared" si="18"/>
        <v>12.926446230292617</v>
      </c>
      <c r="M56" s="57">
        <f t="shared" si="10"/>
        <v>28412308.836200003</v>
      </c>
      <c r="N56" s="57">
        <f t="shared" si="14"/>
        <v>17398155.037500001</v>
      </c>
      <c r="O56" s="57">
        <f t="shared" si="15"/>
        <v>92714.625899999999</v>
      </c>
      <c r="P56" s="57">
        <f t="shared" si="16"/>
        <v>558392.10000000009</v>
      </c>
      <c r="Q56" s="57">
        <f t="shared" si="17"/>
        <v>13555222.064800002</v>
      </c>
      <c r="R56" s="92"/>
    </row>
    <row r="57" spans="1:20" ht="12.75" hidden="1" customHeight="1" x14ac:dyDescent="0.25">
      <c r="A57" s="62" t="s">
        <v>101</v>
      </c>
      <c r="B57" s="70" t="s">
        <v>51</v>
      </c>
      <c r="C57" s="70" t="s">
        <v>102</v>
      </c>
      <c r="D57" s="71">
        <f>SUM(N140:N150)/SUM(H140:H150)</f>
        <v>8258.9957762253434</v>
      </c>
      <c r="E57" s="71">
        <f>SUM(O140:O150)/SUM(H140:H150)</f>
        <v>43.996615687603921</v>
      </c>
      <c r="F57" s="71">
        <f>SUM(P140:P150)/SUM(H140:H150)</f>
        <v>265.00000000000006</v>
      </c>
      <c r="G57" s="71">
        <f>SUM(Q140:Q150)/SUM(I140:I150)</f>
        <v>82976.606354365591</v>
      </c>
      <c r="H57" s="71">
        <f>SUM(H140:H150)</f>
        <v>2042.9759666666671</v>
      </c>
      <c r="I57" s="71">
        <f>H57/J57</f>
        <v>147.10075464640656</v>
      </c>
      <c r="J57" s="72">
        <f xml:space="preserve">  G57*H57/(  (D57+E57*F57)*H57 -   SUM(R140:R150)    -  (D56+E56*F56-G56/J56)*H56   )</f>
        <v>13.888276586870481</v>
      </c>
      <c r="M57" s="57">
        <f t="shared" si="10"/>
        <v>28486276.009982694</v>
      </c>
      <c r="N57" s="57">
        <f t="shared" si="14"/>
        <v>16872929.879629891</v>
      </c>
      <c r="O57" s="57">
        <f t="shared" si="15"/>
        <v>89884.028464444476</v>
      </c>
      <c r="P57" s="57">
        <f t="shared" si="16"/>
        <v>541388.63116666686</v>
      </c>
      <c r="Q57" s="57">
        <f t="shared" si="17"/>
        <v>12205921.412724992</v>
      </c>
      <c r="R57" s="92">
        <f t="shared" si="19"/>
        <v>73967.17378269136</v>
      </c>
    </row>
    <row r="58" spans="1:20" s="22" customFormat="1" ht="12" hidden="1" x14ac:dyDescent="0.2">
      <c r="A58" s="62" t="s">
        <v>65</v>
      </c>
      <c r="B58" s="17" t="s">
        <v>50</v>
      </c>
      <c r="C58" s="107" t="s">
        <v>66</v>
      </c>
      <c r="D58" s="106">
        <v>9032.6</v>
      </c>
      <c r="E58" s="106">
        <v>26.19</v>
      </c>
      <c r="F58" s="106">
        <v>265</v>
      </c>
      <c r="G58" s="106">
        <v>81551.91</v>
      </c>
      <c r="H58" s="106">
        <v>96.88</v>
      </c>
      <c r="I58" s="106">
        <v>6.81</v>
      </c>
      <c r="J58" s="106">
        <v>14.23</v>
      </c>
      <c r="L58" s="125"/>
      <c r="M58" s="57">
        <f t="shared" si="10"/>
        <v>992241.6137933943</v>
      </c>
      <c r="N58" s="57">
        <f t="shared" si="14"/>
        <v>875078.28799999994</v>
      </c>
      <c r="O58" s="57">
        <f t="shared" si="15"/>
        <v>2537.2872000000002</v>
      </c>
      <c r="P58" s="57">
        <f t="shared" si="16"/>
        <v>25673.199999999997</v>
      </c>
      <c r="Q58" s="57">
        <f t="shared" si="17"/>
        <v>555368.50710000005</v>
      </c>
      <c r="R58" s="92"/>
      <c r="S58" s="91"/>
      <c r="T58" s="27"/>
    </row>
    <row r="59" spans="1:20" s="22" customFormat="1" ht="12" hidden="1" x14ac:dyDescent="0.2">
      <c r="A59" s="62" t="s">
        <v>65</v>
      </c>
      <c r="B59" s="17" t="s">
        <v>50</v>
      </c>
      <c r="C59" s="107" t="s">
        <v>67</v>
      </c>
      <c r="D59" s="106">
        <v>7677.41</v>
      </c>
      <c r="E59" s="106">
        <v>32.659999999999997</v>
      </c>
      <c r="F59" s="106">
        <v>265</v>
      </c>
      <c r="G59" s="106">
        <v>81671.38</v>
      </c>
      <c r="H59" s="106">
        <v>148.16999999999999</v>
      </c>
      <c r="I59" s="106">
        <v>6.12</v>
      </c>
      <c r="J59" s="106">
        <v>24.21</v>
      </c>
      <c r="L59" s="125"/>
      <c r="M59" s="57">
        <f t="shared" si="10"/>
        <v>1920113.3345091695</v>
      </c>
      <c r="N59" s="57">
        <f t="shared" si="14"/>
        <v>1137561.8396999999</v>
      </c>
      <c r="O59" s="57">
        <f t="shared" si="15"/>
        <v>4839.2321999999995</v>
      </c>
      <c r="P59" s="57">
        <f t="shared" si="16"/>
        <v>39265.049999999996</v>
      </c>
      <c r="Q59" s="57">
        <f t="shared" si="17"/>
        <v>499828.84560000006</v>
      </c>
      <c r="R59" s="92"/>
      <c r="S59" s="91"/>
      <c r="T59" s="27"/>
    </row>
    <row r="60" spans="1:20" s="22" customFormat="1" ht="12" hidden="1" x14ac:dyDescent="0.2">
      <c r="A60" s="62" t="s">
        <v>65</v>
      </c>
      <c r="B60" s="17" t="s">
        <v>50</v>
      </c>
      <c r="C60" s="107" t="s">
        <v>68</v>
      </c>
      <c r="D60" s="106">
        <v>6167.4</v>
      </c>
      <c r="E60" s="106">
        <v>30</v>
      </c>
      <c r="F60" s="106">
        <v>265</v>
      </c>
      <c r="G60" s="106">
        <v>79543.539999999994</v>
      </c>
      <c r="H60" s="106">
        <v>61.87</v>
      </c>
      <c r="I60" s="106">
        <v>7.86</v>
      </c>
      <c r="J60" s="106">
        <v>7.87</v>
      </c>
      <c r="L60" s="125"/>
      <c r="M60" s="57">
        <f t="shared" si="10"/>
        <v>248112.04882592126</v>
      </c>
      <c r="N60" s="57">
        <f t="shared" si="14"/>
        <v>381577.03799999994</v>
      </c>
      <c r="O60" s="57">
        <f t="shared" si="15"/>
        <v>1856.1</v>
      </c>
      <c r="P60" s="57">
        <f t="shared" si="16"/>
        <v>16395.55</v>
      </c>
      <c r="Q60" s="57">
        <f t="shared" si="17"/>
        <v>625212.22439999995</v>
      </c>
      <c r="R60" s="92"/>
      <c r="S60" s="91"/>
      <c r="T60" s="27"/>
    </row>
    <row r="61" spans="1:20" s="22" customFormat="1" ht="12" hidden="1" x14ac:dyDescent="0.2">
      <c r="A61" s="62" t="s">
        <v>65</v>
      </c>
      <c r="B61" s="17" t="s">
        <v>50</v>
      </c>
      <c r="C61" s="107" t="s">
        <v>69</v>
      </c>
      <c r="D61" s="106">
        <v>10598.25</v>
      </c>
      <c r="E61" s="106">
        <v>24.59</v>
      </c>
      <c r="F61" s="106">
        <v>265</v>
      </c>
      <c r="G61" s="106">
        <v>79007.69</v>
      </c>
      <c r="H61" s="106">
        <v>110.61</v>
      </c>
      <c r="I61" s="106">
        <v>6.63</v>
      </c>
      <c r="J61" s="106">
        <v>16.690000000000001</v>
      </c>
      <c r="L61" s="125"/>
      <c r="M61" s="57">
        <f t="shared" si="10"/>
        <v>1369436.523681246</v>
      </c>
      <c r="N61" s="57">
        <f t="shared" si="14"/>
        <v>1172272.4324999999</v>
      </c>
      <c r="O61" s="57">
        <f t="shared" si="15"/>
        <v>2719.8998999999999</v>
      </c>
      <c r="P61" s="57">
        <f t="shared" si="16"/>
        <v>29311.65</v>
      </c>
      <c r="Q61" s="57">
        <f t="shared" si="17"/>
        <v>523820.98470000003</v>
      </c>
      <c r="R61" s="92"/>
      <c r="S61" s="91"/>
      <c r="T61" s="27"/>
    </row>
    <row r="62" spans="1:20" s="22" customFormat="1" ht="12" hidden="1" x14ac:dyDescent="0.2">
      <c r="A62" s="62" t="s">
        <v>65</v>
      </c>
      <c r="B62" s="17" t="s">
        <v>50</v>
      </c>
      <c r="C62" s="107" t="s">
        <v>70</v>
      </c>
      <c r="D62" s="106">
        <v>7809.42</v>
      </c>
      <c r="E62" s="106">
        <v>44.32</v>
      </c>
      <c r="F62" s="106">
        <v>265</v>
      </c>
      <c r="G62" s="106">
        <v>90732.61</v>
      </c>
      <c r="H62" s="106">
        <v>342.29</v>
      </c>
      <c r="I62" s="106">
        <v>20.77</v>
      </c>
      <c r="J62" s="106">
        <v>16.48</v>
      </c>
      <c r="L62" s="125"/>
      <c r="M62" s="57">
        <f t="shared" si="10"/>
        <v>4808695.4518521847</v>
      </c>
      <c r="N62" s="57">
        <f t="shared" si="14"/>
        <v>2673086.3718000003</v>
      </c>
      <c r="O62" s="57">
        <f t="shared" si="15"/>
        <v>15170.292800000001</v>
      </c>
      <c r="P62" s="57">
        <f t="shared" si="16"/>
        <v>90706.85</v>
      </c>
      <c r="Q62" s="57">
        <f t="shared" si="17"/>
        <v>1884516.3096999999</v>
      </c>
      <c r="R62" s="92"/>
      <c r="S62" s="91"/>
      <c r="T62" s="27"/>
    </row>
    <row r="63" spans="1:20" s="22" customFormat="1" ht="12" hidden="1" x14ac:dyDescent="0.2">
      <c r="A63" s="62" t="s">
        <v>65</v>
      </c>
      <c r="B63" s="17" t="s">
        <v>50</v>
      </c>
      <c r="C63" s="107" t="s">
        <v>71</v>
      </c>
      <c r="D63" s="106">
        <v>13234.78</v>
      </c>
      <c r="E63" s="106">
        <v>36.909999999999997</v>
      </c>
      <c r="F63" s="106">
        <v>265</v>
      </c>
      <c r="G63" s="106">
        <v>64726.400000000001</v>
      </c>
      <c r="H63" s="106">
        <v>385.67</v>
      </c>
      <c r="I63" s="106">
        <v>7.18</v>
      </c>
      <c r="J63" s="106">
        <v>53.7</v>
      </c>
      <c r="L63" s="125"/>
      <c r="M63" s="57">
        <f t="shared" si="10"/>
        <v>8411692.8164333347</v>
      </c>
      <c r="N63" s="57">
        <f t="shared" si="14"/>
        <v>5104257.6026000008</v>
      </c>
      <c r="O63" s="57">
        <f t="shared" si="15"/>
        <v>14235.079699999998</v>
      </c>
      <c r="P63" s="57">
        <f t="shared" si="16"/>
        <v>102202.55</v>
      </c>
      <c r="Q63" s="57">
        <f t="shared" si="17"/>
        <v>464735.55199999997</v>
      </c>
      <c r="R63" s="92"/>
      <c r="S63" s="91"/>
      <c r="T63" s="27"/>
    </row>
    <row r="64" spans="1:20" s="22" customFormat="1" ht="12" hidden="1" x14ac:dyDescent="0.2">
      <c r="A64" s="62" t="s">
        <v>65</v>
      </c>
      <c r="B64" s="17" t="s">
        <v>50</v>
      </c>
      <c r="C64" s="107" t="s">
        <v>72</v>
      </c>
      <c r="D64" s="106">
        <v>10674.96</v>
      </c>
      <c r="E64" s="106">
        <v>24</v>
      </c>
      <c r="F64" s="106">
        <v>265</v>
      </c>
      <c r="G64" s="106">
        <v>99138.47</v>
      </c>
      <c r="H64" s="106">
        <v>149.21</v>
      </c>
      <c r="I64" s="106">
        <v>10.08</v>
      </c>
      <c r="J64" s="106">
        <v>14.8</v>
      </c>
      <c r="L64" s="125"/>
      <c r="M64" s="57">
        <f t="shared" si="10"/>
        <v>1542296.4418229731</v>
      </c>
      <c r="N64" s="57">
        <f t="shared" si="14"/>
        <v>1592810.7815999999</v>
      </c>
      <c r="O64" s="57">
        <f t="shared" si="15"/>
        <v>3581.04</v>
      </c>
      <c r="P64" s="57">
        <f t="shared" si="16"/>
        <v>39540.65</v>
      </c>
      <c r="Q64" s="57">
        <f t="shared" si="17"/>
        <v>999315.77760000003</v>
      </c>
      <c r="R64" s="92"/>
      <c r="S64" s="91"/>
      <c r="T64" s="27"/>
    </row>
    <row r="65" spans="1:20" s="22" customFormat="1" ht="12" hidden="1" x14ac:dyDescent="0.2">
      <c r="A65" s="62" t="s">
        <v>65</v>
      </c>
      <c r="B65" s="18" t="s">
        <v>52</v>
      </c>
      <c r="C65" s="108" t="s">
        <v>73</v>
      </c>
      <c r="D65" s="106">
        <v>11149.85</v>
      </c>
      <c r="E65" s="106">
        <v>39.74</v>
      </c>
      <c r="F65" s="106">
        <v>265</v>
      </c>
      <c r="G65" s="106">
        <v>92920.48</v>
      </c>
      <c r="H65" s="106">
        <v>331.93</v>
      </c>
      <c r="I65" s="106">
        <v>8.4</v>
      </c>
      <c r="J65" s="106">
        <v>39.520000000000003</v>
      </c>
      <c r="L65" s="125"/>
      <c r="M65" s="57">
        <f t="shared" si="10"/>
        <v>6416115.0481153848</v>
      </c>
      <c r="N65" s="57">
        <f t="shared" si="14"/>
        <v>3700969.7105</v>
      </c>
      <c r="O65" s="57">
        <f t="shared" si="15"/>
        <v>13190.898200000001</v>
      </c>
      <c r="P65" s="57">
        <f t="shared" si="16"/>
        <v>87961.45</v>
      </c>
      <c r="Q65" s="57">
        <f t="shared" si="17"/>
        <v>780532.03200000001</v>
      </c>
      <c r="R65" s="92"/>
      <c r="S65" s="91"/>
      <c r="T65" s="27"/>
    </row>
    <row r="66" spans="1:20" s="22" customFormat="1" ht="12" hidden="1" x14ac:dyDescent="0.2">
      <c r="A66" s="62" t="s">
        <v>65</v>
      </c>
      <c r="B66" s="18" t="s">
        <v>52</v>
      </c>
      <c r="C66" s="108" t="s">
        <v>74</v>
      </c>
      <c r="D66" s="106">
        <v>13906.8</v>
      </c>
      <c r="E66" s="106">
        <v>36</v>
      </c>
      <c r="F66" s="106">
        <v>265</v>
      </c>
      <c r="G66" s="106">
        <v>105805.57</v>
      </c>
      <c r="H66" s="106">
        <v>314.33</v>
      </c>
      <c r="I66" s="106">
        <v>10.11</v>
      </c>
      <c r="J66" s="106">
        <v>31.09</v>
      </c>
      <c r="L66" s="125"/>
      <c r="M66" s="57">
        <f t="shared" si="10"/>
        <v>6300303.9589533601</v>
      </c>
      <c r="N66" s="57">
        <f t="shared" si="14"/>
        <v>4371324.4439999992</v>
      </c>
      <c r="O66" s="57">
        <f t="shared" si="15"/>
        <v>11315.88</v>
      </c>
      <c r="P66" s="57">
        <f t="shared" si="16"/>
        <v>83297.45</v>
      </c>
      <c r="Q66" s="57">
        <f t="shared" si="17"/>
        <v>1069694.3127000001</v>
      </c>
      <c r="R66" s="92"/>
      <c r="S66" s="91"/>
      <c r="T66" s="27"/>
    </row>
    <row r="67" spans="1:20" s="22" customFormat="1" ht="12" hidden="1" x14ac:dyDescent="0.2">
      <c r="A67" s="62" t="s">
        <v>65</v>
      </c>
      <c r="B67" s="18" t="s">
        <v>52</v>
      </c>
      <c r="C67" s="108" t="s">
        <v>75</v>
      </c>
      <c r="D67" s="106">
        <v>7271.69</v>
      </c>
      <c r="E67" s="106">
        <v>45</v>
      </c>
      <c r="F67" s="106">
        <v>265</v>
      </c>
      <c r="G67" s="106">
        <v>111947.63</v>
      </c>
      <c r="H67" s="106">
        <v>332.64</v>
      </c>
      <c r="I67" s="106">
        <v>24.23</v>
      </c>
      <c r="J67" s="106">
        <v>13.73</v>
      </c>
      <c r="L67" s="125"/>
      <c r="M67" s="57">
        <f t="shared" si="10"/>
        <v>3673404.9045570279</v>
      </c>
      <c r="N67" s="57">
        <f t="shared" si="14"/>
        <v>2418854.9615999996</v>
      </c>
      <c r="O67" s="57">
        <f t="shared" si="15"/>
        <v>14968.8</v>
      </c>
      <c r="P67" s="57">
        <f t="shared" si="16"/>
        <v>88149.599999999991</v>
      </c>
      <c r="Q67" s="57">
        <f t="shared" si="17"/>
        <v>2712491.0749000004</v>
      </c>
      <c r="R67" s="92"/>
      <c r="S67" s="91"/>
      <c r="T67" s="27"/>
    </row>
    <row r="68" spans="1:20" s="22" customFormat="1" ht="12" hidden="1" x14ac:dyDescent="0.2">
      <c r="A68" s="62" t="s">
        <v>65</v>
      </c>
      <c r="B68" s="18" t="s">
        <v>52</v>
      </c>
      <c r="C68" s="108" t="s">
        <v>76</v>
      </c>
      <c r="D68" s="106">
        <v>11686.04</v>
      </c>
      <c r="E68" s="106">
        <v>39.380000000000003</v>
      </c>
      <c r="F68" s="106">
        <v>265</v>
      </c>
      <c r="G68" s="106">
        <v>66927.23</v>
      </c>
      <c r="H68" s="106">
        <v>824.07</v>
      </c>
      <c r="I68" s="106">
        <v>40.1</v>
      </c>
      <c r="J68" s="106">
        <v>20.55</v>
      </c>
      <c r="L68" s="125"/>
      <c r="M68" s="57">
        <f t="shared" si="10"/>
        <v>15546031.506807299</v>
      </c>
      <c r="N68" s="57">
        <f t="shared" si="14"/>
        <v>9630114.9828000013</v>
      </c>
      <c r="O68" s="57">
        <f t="shared" si="15"/>
        <v>32451.876600000003</v>
      </c>
      <c r="P68" s="57">
        <f t="shared" si="16"/>
        <v>218378.55000000002</v>
      </c>
      <c r="Q68" s="57">
        <f t="shared" si="17"/>
        <v>2683781.923</v>
      </c>
      <c r="R68" s="92"/>
      <c r="S68" s="91"/>
      <c r="T68" s="27"/>
    </row>
    <row r="69" spans="1:20" s="22" customFormat="1" ht="12" hidden="1" x14ac:dyDescent="0.2">
      <c r="A69" s="62" t="s">
        <v>65</v>
      </c>
      <c r="B69" s="18" t="s">
        <v>52</v>
      </c>
      <c r="C69" s="108" t="s">
        <v>77</v>
      </c>
      <c r="D69" s="106">
        <v>8488.6200000000008</v>
      </c>
      <c r="E69" s="106">
        <v>43.62</v>
      </c>
      <c r="F69" s="106">
        <v>265</v>
      </c>
      <c r="G69" s="106">
        <v>83596.47</v>
      </c>
      <c r="H69" s="106">
        <v>845.02</v>
      </c>
      <c r="I69" s="106">
        <v>29.49</v>
      </c>
      <c r="J69" s="106">
        <v>28.66</v>
      </c>
      <c r="L69" s="125"/>
      <c r="M69" s="57">
        <f t="shared" si="10"/>
        <v>14476110.0688187</v>
      </c>
      <c r="N69" s="57">
        <f t="shared" si="14"/>
        <v>7173053.6724000005</v>
      </c>
      <c r="O69" s="57">
        <f t="shared" si="15"/>
        <v>36859.772399999994</v>
      </c>
      <c r="P69" s="57">
        <f t="shared" si="16"/>
        <v>223930.3</v>
      </c>
      <c r="Q69" s="57">
        <f t="shared" si="17"/>
        <v>2465259.9002999999</v>
      </c>
      <c r="R69" s="92"/>
      <c r="S69" s="91"/>
      <c r="T69" s="27"/>
    </row>
    <row r="70" spans="1:20" s="22" customFormat="1" ht="12" hidden="1" x14ac:dyDescent="0.2">
      <c r="A70" s="62" t="s">
        <v>65</v>
      </c>
      <c r="B70" s="18" t="s">
        <v>52</v>
      </c>
      <c r="C70" s="108" t="s">
        <v>78</v>
      </c>
      <c r="D70" s="106">
        <v>10529.82</v>
      </c>
      <c r="E70" s="106">
        <v>40.17</v>
      </c>
      <c r="F70" s="106">
        <v>265</v>
      </c>
      <c r="G70" s="106">
        <v>76727.86</v>
      </c>
      <c r="H70" s="106">
        <v>467.41</v>
      </c>
      <c r="I70" s="106">
        <v>36.97</v>
      </c>
      <c r="J70" s="106">
        <v>12.64</v>
      </c>
      <c r="L70" s="125"/>
      <c r="M70" s="57">
        <f t="shared" si="10"/>
        <v>7060054.1320639262</v>
      </c>
      <c r="N70" s="57">
        <f t="shared" si="14"/>
        <v>4921743.1661999999</v>
      </c>
      <c r="O70" s="57">
        <f t="shared" si="15"/>
        <v>18775.859700000001</v>
      </c>
      <c r="P70" s="57">
        <f t="shared" si="16"/>
        <v>123863.65000000001</v>
      </c>
      <c r="Q70" s="57">
        <f t="shared" si="17"/>
        <v>2836628.9841999998</v>
      </c>
      <c r="R70" s="92"/>
      <c r="S70" s="91"/>
      <c r="T70" s="27"/>
    </row>
    <row r="71" spans="1:20" s="22" customFormat="1" ht="12" hidden="1" x14ac:dyDescent="0.2">
      <c r="A71" s="62" t="s">
        <v>65</v>
      </c>
      <c r="B71" s="19" t="s">
        <v>53</v>
      </c>
      <c r="C71" s="109" t="s">
        <v>79</v>
      </c>
      <c r="D71" s="106">
        <v>7644.82</v>
      </c>
      <c r="E71" s="106">
        <v>44.33</v>
      </c>
      <c r="F71" s="106">
        <v>265</v>
      </c>
      <c r="G71" s="106">
        <v>108164.62</v>
      </c>
      <c r="H71" s="106">
        <v>294.88</v>
      </c>
      <c r="I71" s="106">
        <v>24.81</v>
      </c>
      <c r="J71" s="106">
        <v>11.89</v>
      </c>
      <c r="L71" s="125"/>
      <c r="M71" s="57">
        <f t="shared" si="10"/>
        <v>3035837.2247320428</v>
      </c>
      <c r="N71" s="57">
        <f t="shared" si="14"/>
        <v>2254304.5216000001</v>
      </c>
      <c r="O71" s="57">
        <f t="shared" si="15"/>
        <v>13072.0304</v>
      </c>
      <c r="P71" s="57">
        <f t="shared" si="16"/>
        <v>78143.199999999997</v>
      </c>
      <c r="Q71" s="57">
        <f t="shared" si="17"/>
        <v>2683564.2221999997</v>
      </c>
      <c r="R71" s="92"/>
      <c r="S71" s="91"/>
      <c r="T71" s="27"/>
    </row>
    <row r="72" spans="1:20" s="22" customFormat="1" ht="12" hidden="1" x14ac:dyDescent="0.2">
      <c r="A72" s="62" t="s">
        <v>65</v>
      </c>
      <c r="B72" s="19" t="s">
        <v>53</v>
      </c>
      <c r="C72" s="109" t="s">
        <v>80</v>
      </c>
      <c r="D72" s="106">
        <v>7242.3</v>
      </c>
      <c r="E72" s="106">
        <v>45</v>
      </c>
      <c r="F72" s="106">
        <v>265</v>
      </c>
      <c r="G72" s="106">
        <v>95997.27</v>
      </c>
      <c r="H72" s="106">
        <v>256.22000000000003</v>
      </c>
      <c r="I72" s="106">
        <v>18.260000000000002</v>
      </c>
      <c r="J72" s="106">
        <v>14.03</v>
      </c>
      <c r="L72" s="125"/>
      <c r="M72" s="57">
        <f t="shared" si="10"/>
        <v>3157915.1341967215</v>
      </c>
      <c r="N72" s="57">
        <f t="shared" si="14"/>
        <v>1855622.1060000001</v>
      </c>
      <c r="O72" s="57">
        <f t="shared" si="15"/>
        <v>11529.900000000001</v>
      </c>
      <c r="P72" s="57">
        <f t="shared" si="16"/>
        <v>67898.3</v>
      </c>
      <c r="Q72" s="57">
        <f t="shared" si="17"/>
        <v>1752910.1502000003</v>
      </c>
      <c r="R72" s="92"/>
      <c r="S72" s="91"/>
      <c r="T72" s="27"/>
    </row>
    <row r="73" spans="1:20" s="22" customFormat="1" ht="12" hidden="1" x14ac:dyDescent="0.2">
      <c r="A73" s="62" t="s">
        <v>65</v>
      </c>
      <c r="B73" s="19" t="s">
        <v>53</v>
      </c>
      <c r="C73" s="109" t="s">
        <v>81</v>
      </c>
      <c r="D73" s="106">
        <v>7382.71</v>
      </c>
      <c r="E73" s="106">
        <v>44.76</v>
      </c>
      <c r="F73" s="106">
        <v>265</v>
      </c>
      <c r="G73" s="106">
        <v>116053.96</v>
      </c>
      <c r="H73" s="106">
        <v>281.27999999999997</v>
      </c>
      <c r="I73" s="106">
        <v>20.32</v>
      </c>
      <c r="J73" s="106">
        <v>13.84</v>
      </c>
      <c r="L73" s="125"/>
      <c r="M73" s="57">
        <f t="shared" si="10"/>
        <v>3054337.4610312134</v>
      </c>
      <c r="N73" s="57">
        <f t="shared" si="14"/>
        <v>2076608.6687999999</v>
      </c>
      <c r="O73" s="57">
        <f t="shared" si="15"/>
        <v>12590.092799999999</v>
      </c>
      <c r="P73" s="57">
        <f t="shared" si="16"/>
        <v>74539.199999999997</v>
      </c>
      <c r="Q73" s="57">
        <f t="shared" si="17"/>
        <v>2358216.4672000003</v>
      </c>
      <c r="R73" s="92"/>
      <c r="S73" s="91"/>
      <c r="T73" s="27"/>
    </row>
    <row r="74" spans="1:20" s="22" customFormat="1" ht="12" hidden="1" x14ac:dyDescent="0.2">
      <c r="A74" s="62" t="s">
        <v>65</v>
      </c>
      <c r="B74" s="19" t="s">
        <v>53</v>
      </c>
      <c r="C74" s="109" t="s">
        <v>82</v>
      </c>
      <c r="D74" s="106">
        <v>7246.5</v>
      </c>
      <c r="E74" s="106">
        <v>45</v>
      </c>
      <c r="F74" s="106">
        <v>265</v>
      </c>
      <c r="G74" s="106">
        <v>73596.78</v>
      </c>
      <c r="H74" s="106">
        <v>118.82</v>
      </c>
      <c r="I74" s="106">
        <v>10.41</v>
      </c>
      <c r="J74" s="106">
        <v>11.42</v>
      </c>
      <c r="L74" s="125"/>
      <c r="M74" s="57">
        <f t="shared" si="10"/>
        <v>1512216.001313485</v>
      </c>
      <c r="N74" s="57">
        <f t="shared" si="14"/>
        <v>861029.13</v>
      </c>
      <c r="O74" s="57">
        <f t="shared" si="15"/>
        <v>5346.9</v>
      </c>
      <c r="P74" s="57">
        <f t="shared" si="16"/>
        <v>31487.3</v>
      </c>
      <c r="Q74" s="57">
        <f t="shared" si="17"/>
        <v>766142.47979999997</v>
      </c>
      <c r="R74" s="92"/>
      <c r="S74" s="91"/>
      <c r="T74" s="27"/>
    </row>
    <row r="75" spans="1:20" s="22" customFormat="1" ht="12" hidden="1" x14ac:dyDescent="0.2">
      <c r="A75" s="62" t="s">
        <v>65</v>
      </c>
      <c r="B75" s="19" t="s">
        <v>53</v>
      </c>
      <c r="C75" s="109" t="s">
        <v>83</v>
      </c>
      <c r="D75" s="106">
        <v>7352.63</v>
      </c>
      <c r="E75" s="106">
        <v>44.92</v>
      </c>
      <c r="F75" s="106">
        <v>265</v>
      </c>
      <c r="G75" s="106">
        <v>92420.64</v>
      </c>
      <c r="H75" s="106">
        <v>236.75</v>
      </c>
      <c r="I75" s="106">
        <v>11.58</v>
      </c>
      <c r="J75" s="106">
        <v>20.45</v>
      </c>
      <c r="L75" s="125"/>
      <c r="M75" s="57">
        <f t="shared" ref="M75:M106" si="20">(D75+E75*F75-G75/J75)*H75</f>
        <v>3489004.4714486552</v>
      </c>
      <c r="N75" s="57">
        <f t="shared" si="14"/>
        <v>1740735.1525000001</v>
      </c>
      <c r="O75" s="57">
        <f t="shared" si="15"/>
        <v>10634.810000000001</v>
      </c>
      <c r="P75" s="57">
        <f t="shared" si="16"/>
        <v>62738.75</v>
      </c>
      <c r="Q75" s="57">
        <f t="shared" si="17"/>
        <v>1070231.0112000001</v>
      </c>
      <c r="R75" s="92"/>
      <c r="S75" s="91"/>
      <c r="T75" s="27"/>
    </row>
    <row r="76" spans="1:20" s="22" customFormat="1" ht="12" hidden="1" x14ac:dyDescent="0.2">
      <c r="A76" s="62" t="s">
        <v>65</v>
      </c>
      <c r="B76" s="19" t="s">
        <v>53</v>
      </c>
      <c r="C76" s="109" t="s">
        <v>84</v>
      </c>
      <c r="D76" s="106">
        <v>7293.7</v>
      </c>
      <c r="E76" s="106">
        <v>44.95</v>
      </c>
      <c r="F76" s="106">
        <v>265</v>
      </c>
      <c r="G76" s="106">
        <v>74906.8</v>
      </c>
      <c r="H76" s="106">
        <v>478.62</v>
      </c>
      <c r="I76" s="106">
        <v>24.5</v>
      </c>
      <c r="J76" s="106">
        <v>19.53</v>
      </c>
      <c r="L76" s="125"/>
      <c r="M76" s="57">
        <f t="shared" si="20"/>
        <v>7356378.090059909</v>
      </c>
      <c r="N76" s="57">
        <f t="shared" si="14"/>
        <v>3490910.6940000001</v>
      </c>
      <c r="O76" s="57">
        <f t="shared" si="15"/>
        <v>21513.969000000001</v>
      </c>
      <c r="P76" s="57">
        <f t="shared" si="16"/>
        <v>126834.3</v>
      </c>
      <c r="Q76" s="57">
        <f t="shared" si="17"/>
        <v>1835216.6</v>
      </c>
      <c r="R76" s="92"/>
      <c r="S76" s="91"/>
      <c r="T76" s="27"/>
    </row>
    <row r="77" spans="1:20" s="22" customFormat="1" ht="12" hidden="1" x14ac:dyDescent="0.2">
      <c r="A77" s="62" t="s">
        <v>65</v>
      </c>
      <c r="B77" s="19" t="s">
        <v>53</v>
      </c>
      <c r="C77" s="109" t="s">
        <v>85</v>
      </c>
      <c r="D77" s="106">
        <v>7242.3</v>
      </c>
      <c r="E77" s="106">
        <v>45</v>
      </c>
      <c r="F77" s="106">
        <v>265</v>
      </c>
      <c r="G77" s="106">
        <v>96958.81</v>
      </c>
      <c r="H77" s="106">
        <v>179.44</v>
      </c>
      <c r="I77" s="106">
        <v>17.47</v>
      </c>
      <c r="J77" s="106">
        <v>10.27</v>
      </c>
      <c r="L77" s="125"/>
      <c r="M77" s="57">
        <f t="shared" si="20"/>
        <v>1745291.8147848099</v>
      </c>
      <c r="N77" s="57">
        <f t="shared" si="14"/>
        <v>1299558.3119999999</v>
      </c>
      <c r="O77" s="57">
        <f t="shared" si="15"/>
        <v>8074.8</v>
      </c>
      <c r="P77" s="57">
        <f t="shared" si="16"/>
        <v>47551.6</v>
      </c>
      <c r="Q77" s="57">
        <f t="shared" si="17"/>
        <v>1693870.4106999999</v>
      </c>
      <c r="R77" s="92"/>
      <c r="S77" s="91"/>
      <c r="T77" s="27"/>
    </row>
    <row r="78" spans="1:20" s="22" customFormat="1" ht="12" hidden="1" x14ac:dyDescent="0.2">
      <c r="A78" s="62" t="s">
        <v>65</v>
      </c>
      <c r="B78" s="20" t="s">
        <v>51</v>
      </c>
      <c r="C78" s="110" t="s">
        <v>86</v>
      </c>
      <c r="D78" s="106">
        <v>8289.4</v>
      </c>
      <c r="E78" s="106">
        <v>43.6</v>
      </c>
      <c r="F78" s="106">
        <v>265</v>
      </c>
      <c r="G78" s="106">
        <v>72521.2</v>
      </c>
      <c r="H78" s="106">
        <v>338.07</v>
      </c>
      <c r="I78" s="106">
        <v>31.71</v>
      </c>
      <c r="J78" s="106">
        <v>10.66</v>
      </c>
      <c r="L78" s="125"/>
      <c r="M78" s="57">
        <f t="shared" si="20"/>
        <v>4408529.3370619146</v>
      </c>
      <c r="N78" s="57">
        <f t="shared" ref="N78:N109" si="21">D78*H78</f>
        <v>2802397.4579999996</v>
      </c>
      <c r="O78" s="57">
        <f t="shared" ref="O78:O109" si="22">E78*H78</f>
        <v>14739.852000000001</v>
      </c>
      <c r="P78" s="57">
        <f t="shared" ref="P78:P109" si="23">F78*H78</f>
        <v>89588.55</v>
      </c>
      <c r="Q78" s="57">
        <f t="shared" ref="Q78:Q109" si="24">G78*I78</f>
        <v>2299647.2519999999</v>
      </c>
      <c r="R78" s="92"/>
      <c r="S78" s="91"/>
      <c r="T78" s="27"/>
    </row>
    <row r="79" spans="1:20" s="22" customFormat="1" ht="12" hidden="1" x14ac:dyDescent="0.2">
      <c r="A79" s="62" t="s">
        <v>65</v>
      </c>
      <c r="B79" s="20" t="s">
        <v>51</v>
      </c>
      <c r="C79" s="110" t="s">
        <v>87</v>
      </c>
      <c r="D79" s="106">
        <v>7660.44</v>
      </c>
      <c r="E79" s="106">
        <v>45</v>
      </c>
      <c r="F79" s="106">
        <v>265</v>
      </c>
      <c r="G79" s="106">
        <v>75792.399999999994</v>
      </c>
      <c r="H79" s="106">
        <v>232.38</v>
      </c>
      <c r="I79" s="106">
        <v>11.97</v>
      </c>
      <c r="J79" s="106">
        <v>19.41</v>
      </c>
      <c r="L79" s="125"/>
      <c r="M79" s="57">
        <f t="shared" si="20"/>
        <v>3643864.3456544047</v>
      </c>
      <c r="N79" s="57">
        <f t="shared" si="21"/>
        <v>1780133.0471999999</v>
      </c>
      <c r="O79" s="57">
        <f t="shared" si="22"/>
        <v>10457.1</v>
      </c>
      <c r="P79" s="57">
        <f t="shared" si="23"/>
        <v>61580.7</v>
      </c>
      <c r="Q79" s="57">
        <f t="shared" si="24"/>
        <v>907235.02799999993</v>
      </c>
      <c r="R79" s="92"/>
      <c r="S79" s="91"/>
      <c r="T79" s="27"/>
    </row>
    <row r="80" spans="1:20" s="22" customFormat="1" ht="12" hidden="1" x14ac:dyDescent="0.2">
      <c r="A80" s="62" t="s">
        <v>65</v>
      </c>
      <c r="B80" s="20" t="s">
        <v>51</v>
      </c>
      <c r="C80" s="110" t="s">
        <v>88</v>
      </c>
      <c r="D80" s="106">
        <v>7245.49</v>
      </c>
      <c r="E80" s="106">
        <v>45</v>
      </c>
      <c r="F80" s="106">
        <v>265</v>
      </c>
      <c r="G80" s="106">
        <v>112588.5</v>
      </c>
      <c r="H80" s="106">
        <v>156.56</v>
      </c>
      <c r="I80" s="106">
        <v>5.75</v>
      </c>
      <c r="J80" s="106">
        <v>27.24</v>
      </c>
      <c r="L80" s="125"/>
      <c r="M80" s="57">
        <f t="shared" si="20"/>
        <v>2354237.3637392069</v>
      </c>
      <c r="N80" s="57">
        <f t="shared" si="21"/>
        <v>1134353.9143999999</v>
      </c>
      <c r="O80" s="57">
        <f t="shared" si="22"/>
        <v>7045.2</v>
      </c>
      <c r="P80" s="57">
        <f t="shared" si="23"/>
        <v>41488.400000000001</v>
      </c>
      <c r="Q80" s="57">
        <f t="shared" si="24"/>
        <v>647383.875</v>
      </c>
      <c r="R80" s="92"/>
      <c r="S80" s="91"/>
      <c r="T80" s="27"/>
    </row>
    <row r="81" spans="1:20" s="22" customFormat="1" ht="12" hidden="1" x14ac:dyDescent="0.2">
      <c r="A81" s="62" t="s">
        <v>65</v>
      </c>
      <c r="B81" s="20" t="s">
        <v>51</v>
      </c>
      <c r="C81" s="110" t="s">
        <v>89</v>
      </c>
      <c r="D81" s="106">
        <v>7678.33</v>
      </c>
      <c r="E81" s="106">
        <v>44.32</v>
      </c>
      <c r="F81" s="106">
        <v>265</v>
      </c>
      <c r="G81" s="106">
        <v>92349.47</v>
      </c>
      <c r="H81" s="106">
        <v>569.73</v>
      </c>
      <c r="I81" s="106">
        <v>41.35</v>
      </c>
      <c r="J81" s="106">
        <v>13.78</v>
      </c>
      <c r="L81" s="125"/>
      <c r="M81" s="57">
        <f t="shared" si="20"/>
        <v>7247778.4947330896</v>
      </c>
      <c r="N81" s="57">
        <f t="shared" si="21"/>
        <v>4374574.9509000005</v>
      </c>
      <c r="O81" s="57">
        <f t="shared" si="22"/>
        <v>25250.4336</v>
      </c>
      <c r="P81" s="57">
        <f t="shared" si="23"/>
        <v>150978.45000000001</v>
      </c>
      <c r="Q81" s="57">
        <f t="shared" si="24"/>
        <v>3818650.5845000003</v>
      </c>
      <c r="R81" s="92"/>
      <c r="S81" s="91"/>
      <c r="T81" s="27"/>
    </row>
    <row r="82" spans="1:20" s="22" customFormat="1" ht="12" hidden="1" x14ac:dyDescent="0.2">
      <c r="A82" s="62" t="s">
        <v>65</v>
      </c>
      <c r="B82" s="20" t="s">
        <v>51</v>
      </c>
      <c r="C82" s="110" t="s">
        <v>90</v>
      </c>
      <c r="D82" s="106">
        <v>9344.16</v>
      </c>
      <c r="E82" s="106">
        <v>42.2</v>
      </c>
      <c r="F82" s="106">
        <v>265</v>
      </c>
      <c r="G82" s="106">
        <v>79115.31</v>
      </c>
      <c r="H82" s="106">
        <v>447.12</v>
      </c>
      <c r="I82" s="106">
        <v>25.36</v>
      </c>
      <c r="J82" s="106">
        <v>17.63</v>
      </c>
      <c r="L82" s="125"/>
      <c r="M82" s="57">
        <f t="shared" si="20"/>
        <v>7171635.4066985818</v>
      </c>
      <c r="N82" s="57">
        <f t="shared" si="21"/>
        <v>4177960.8191999998</v>
      </c>
      <c r="O82" s="57">
        <f t="shared" si="22"/>
        <v>18868.464</v>
      </c>
      <c r="P82" s="57">
        <f t="shared" si="23"/>
        <v>118486.8</v>
      </c>
      <c r="Q82" s="57">
        <f t="shared" si="24"/>
        <v>2006364.2615999999</v>
      </c>
      <c r="R82" s="92"/>
      <c r="S82" s="91"/>
      <c r="T82" s="27"/>
    </row>
    <row r="83" spans="1:20" s="22" customFormat="1" ht="12" hidden="1" x14ac:dyDescent="0.2">
      <c r="A83" s="62" t="s">
        <v>65</v>
      </c>
      <c r="B83" s="20" t="s">
        <v>51</v>
      </c>
      <c r="C83" s="110" t="s">
        <v>91</v>
      </c>
      <c r="D83" s="106">
        <v>8182.81</v>
      </c>
      <c r="E83" s="106">
        <v>43.43</v>
      </c>
      <c r="F83" s="106">
        <v>265</v>
      </c>
      <c r="G83" s="106">
        <v>104799.56</v>
      </c>
      <c r="H83" s="106">
        <v>177.5</v>
      </c>
      <c r="I83" s="106">
        <v>13.5</v>
      </c>
      <c r="J83" s="106">
        <v>13.15</v>
      </c>
      <c r="L83" s="125"/>
      <c r="M83" s="57">
        <f t="shared" si="20"/>
        <v>2080692.5787072249</v>
      </c>
      <c r="N83" s="57">
        <f t="shared" si="21"/>
        <v>1452448.7750000001</v>
      </c>
      <c r="O83" s="57">
        <f t="shared" si="22"/>
        <v>7708.8249999999998</v>
      </c>
      <c r="P83" s="57">
        <f t="shared" si="23"/>
        <v>47037.5</v>
      </c>
      <c r="Q83" s="57">
        <f t="shared" si="24"/>
        <v>1414794.06</v>
      </c>
      <c r="R83" s="92"/>
      <c r="S83" s="91"/>
      <c r="T83" s="27"/>
    </row>
    <row r="84" spans="1:20" s="22" customFormat="1" ht="12" hidden="1" x14ac:dyDescent="0.2">
      <c r="A84" s="62" t="s">
        <v>65</v>
      </c>
      <c r="B84" s="20" t="s">
        <v>51</v>
      </c>
      <c r="C84" s="110" t="s">
        <v>92</v>
      </c>
      <c r="D84" s="106">
        <v>7321.63</v>
      </c>
      <c r="E84" s="106">
        <v>45</v>
      </c>
      <c r="F84" s="106">
        <v>265</v>
      </c>
      <c r="G84" s="106">
        <v>76545.45</v>
      </c>
      <c r="H84" s="106">
        <v>106.89</v>
      </c>
      <c r="I84" s="106">
        <v>4.99</v>
      </c>
      <c r="J84" s="106">
        <v>21.41</v>
      </c>
      <c r="L84" s="125"/>
      <c r="M84" s="57">
        <f t="shared" si="20"/>
        <v>1675117.0658237741</v>
      </c>
      <c r="N84" s="57">
        <f t="shared" si="21"/>
        <v>782609.0307</v>
      </c>
      <c r="O84" s="57">
        <f t="shared" si="22"/>
        <v>4810.05</v>
      </c>
      <c r="P84" s="57">
        <f t="shared" si="23"/>
        <v>28325.85</v>
      </c>
      <c r="Q84" s="57">
        <f t="shared" si="24"/>
        <v>381961.79550000001</v>
      </c>
      <c r="R84" s="92"/>
      <c r="S84" s="91"/>
      <c r="T84" s="27"/>
    </row>
    <row r="85" spans="1:20" s="22" customFormat="1" ht="12" hidden="1" x14ac:dyDescent="0.2">
      <c r="A85" s="62" t="s">
        <v>65</v>
      </c>
      <c r="B85" s="20" t="s">
        <v>51</v>
      </c>
      <c r="C85" s="110" t="s">
        <v>93</v>
      </c>
      <c r="D85" s="106">
        <v>7272.63</v>
      </c>
      <c r="E85" s="106">
        <v>45</v>
      </c>
      <c r="F85" s="106">
        <v>265</v>
      </c>
      <c r="G85" s="106">
        <v>98525.16</v>
      </c>
      <c r="H85" s="106">
        <v>16.440000000000001</v>
      </c>
      <c r="I85" s="106">
        <v>2.1</v>
      </c>
      <c r="J85" s="106">
        <v>7.83</v>
      </c>
      <c r="L85" s="125"/>
      <c r="M85" s="57">
        <f t="shared" si="20"/>
        <v>108743.95030344829</v>
      </c>
      <c r="N85" s="57">
        <f t="shared" si="21"/>
        <v>119562.03720000001</v>
      </c>
      <c r="O85" s="57">
        <f t="shared" si="22"/>
        <v>739.80000000000007</v>
      </c>
      <c r="P85" s="57">
        <f t="shared" si="23"/>
        <v>4356.6000000000004</v>
      </c>
      <c r="Q85" s="57">
        <f t="shared" si="24"/>
        <v>206902.83600000001</v>
      </c>
      <c r="R85" s="92"/>
      <c r="S85" s="91"/>
      <c r="T85" s="27"/>
    </row>
    <row r="86" spans="1:20" s="22" customFormat="1" ht="12" hidden="1" x14ac:dyDescent="0.2">
      <c r="A86" s="62" t="s">
        <v>65</v>
      </c>
      <c r="B86" s="20" t="s">
        <v>51</v>
      </c>
      <c r="C86" s="110" t="s">
        <v>94</v>
      </c>
      <c r="D86" s="106">
        <v>7317.96</v>
      </c>
      <c r="E86" s="106">
        <v>45</v>
      </c>
      <c r="F86" s="106">
        <v>265</v>
      </c>
      <c r="G86" s="106">
        <v>57890.22</v>
      </c>
      <c r="H86" s="106">
        <v>19.78</v>
      </c>
      <c r="I86" s="106">
        <v>0.57999999999999996</v>
      </c>
      <c r="J86" s="106">
        <v>33.92</v>
      </c>
      <c r="L86" s="125"/>
      <c r="M86" s="57">
        <f t="shared" si="20"/>
        <v>346867.83159481129</v>
      </c>
      <c r="N86" s="57">
        <f t="shared" si="21"/>
        <v>144749.2488</v>
      </c>
      <c r="O86" s="57">
        <f t="shared" si="22"/>
        <v>890.1</v>
      </c>
      <c r="P86" s="57">
        <f t="shared" si="23"/>
        <v>5241.7000000000007</v>
      </c>
      <c r="Q86" s="57">
        <f t="shared" si="24"/>
        <v>33576.327599999997</v>
      </c>
      <c r="R86" s="92"/>
      <c r="S86" s="91"/>
      <c r="T86" s="27"/>
    </row>
    <row r="87" spans="1:20" s="22" customFormat="1" ht="12" hidden="1" x14ac:dyDescent="0.2">
      <c r="A87" s="62" t="s">
        <v>65</v>
      </c>
      <c r="B87" s="20" t="s">
        <v>51</v>
      </c>
      <c r="C87" s="110" t="s">
        <v>95</v>
      </c>
      <c r="D87" s="106">
        <v>7399.75</v>
      </c>
      <c r="E87" s="106">
        <v>45</v>
      </c>
      <c r="F87" s="106">
        <v>265</v>
      </c>
      <c r="G87" s="106">
        <v>75157.039999999994</v>
      </c>
      <c r="H87" s="106">
        <v>28.51</v>
      </c>
      <c r="I87" s="106">
        <v>3.13</v>
      </c>
      <c r="J87" s="106">
        <v>9.1199999999999992</v>
      </c>
      <c r="L87" s="125"/>
      <c r="M87" s="57">
        <f t="shared" si="20"/>
        <v>316000.46346491232</v>
      </c>
      <c r="N87" s="57">
        <f t="shared" si="21"/>
        <v>210966.8725</v>
      </c>
      <c r="O87" s="57">
        <f t="shared" si="22"/>
        <v>1282.95</v>
      </c>
      <c r="P87" s="57">
        <f t="shared" si="23"/>
        <v>7555.1500000000005</v>
      </c>
      <c r="Q87" s="57">
        <f t="shared" si="24"/>
        <v>235241.53519999998</v>
      </c>
      <c r="R87" s="92"/>
      <c r="S87" s="91"/>
      <c r="T87" s="27"/>
    </row>
    <row r="88" spans="1:20" s="22" customFormat="1" ht="12" hidden="1" x14ac:dyDescent="0.2">
      <c r="A88" s="62" t="s">
        <v>65</v>
      </c>
      <c r="B88" s="20" t="s">
        <v>51</v>
      </c>
      <c r="C88" s="110" t="s">
        <v>96</v>
      </c>
      <c r="D88" s="106">
        <v>7278.32</v>
      </c>
      <c r="E88" s="106">
        <v>45</v>
      </c>
      <c r="F88" s="106">
        <v>265</v>
      </c>
      <c r="G88" s="106">
        <v>92210.71</v>
      </c>
      <c r="H88" s="106">
        <v>166.16</v>
      </c>
      <c r="I88" s="106">
        <v>8.5500000000000007</v>
      </c>
      <c r="J88" s="106">
        <v>19.440000000000001</v>
      </c>
      <c r="L88" s="125"/>
      <c r="M88" s="57">
        <f t="shared" si="20"/>
        <v>2402668.7348625516</v>
      </c>
      <c r="N88" s="57">
        <f t="shared" si="21"/>
        <v>1209365.6512</v>
      </c>
      <c r="O88" s="57">
        <f t="shared" si="22"/>
        <v>7477.2</v>
      </c>
      <c r="P88" s="57">
        <f t="shared" si="23"/>
        <v>44032.4</v>
      </c>
      <c r="Q88" s="57">
        <f t="shared" si="24"/>
        <v>788401.57050000015</v>
      </c>
      <c r="R88" s="92"/>
      <c r="S88" s="91"/>
      <c r="T88" s="27"/>
    </row>
    <row r="89" spans="1:20" s="22" customFormat="1" ht="12" hidden="1" x14ac:dyDescent="0.2">
      <c r="A89" s="62" t="s">
        <v>97</v>
      </c>
      <c r="B89" s="17" t="s">
        <v>50</v>
      </c>
      <c r="C89" s="107" t="s">
        <v>66</v>
      </c>
      <c r="D89" s="106">
        <v>9449.06</v>
      </c>
      <c r="E89" s="106">
        <v>25.79</v>
      </c>
      <c r="F89" s="106">
        <v>265</v>
      </c>
      <c r="G89" s="106">
        <v>81696.52</v>
      </c>
      <c r="H89" s="106">
        <v>90.73</v>
      </c>
      <c r="I89" s="106">
        <v>6.53</v>
      </c>
      <c r="J89" s="106">
        <v>13.89</v>
      </c>
      <c r="L89" s="125"/>
      <c r="M89" s="57">
        <f t="shared" si="20"/>
        <v>943749.06218696898</v>
      </c>
      <c r="N89" s="57">
        <f t="shared" si="21"/>
        <v>857313.21380000003</v>
      </c>
      <c r="O89" s="57">
        <f t="shared" si="22"/>
        <v>2339.9267</v>
      </c>
      <c r="P89" s="57">
        <f t="shared" si="23"/>
        <v>24043.45</v>
      </c>
      <c r="Q89" s="57">
        <f t="shared" si="24"/>
        <v>533478.27560000005</v>
      </c>
      <c r="R89" s="92"/>
      <c r="S89" s="91"/>
      <c r="T89" s="27"/>
    </row>
    <row r="90" spans="1:20" s="22" customFormat="1" ht="12" hidden="1" x14ac:dyDescent="0.2">
      <c r="A90" s="62" t="s">
        <v>97</v>
      </c>
      <c r="B90" s="17" t="s">
        <v>50</v>
      </c>
      <c r="C90" s="107" t="s">
        <v>67</v>
      </c>
      <c r="D90" s="106">
        <v>6868.72</v>
      </c>
      <c r="E90" s="106">
        <v>33.770000000000003</v>
      </c>
      <c r="F90" s="106">
        <v>265</v>
      </c>
      <c r="G90" s="106">
        <v>81879.97</v>
      </c>
      <c r="H90" s="106">
        <v>126.46</v>
      </c>
      <c r="I90" s="106">
        <v>5.21</v>
      </c>
      <c r="J90" s="106">
        <v>24.28</v>
      </c>
      <c r="L90" s="125"/>
      <c r="M90" s="57">
        <f t="shared" si="20"/>
        <v>1573851.3965805601</v>
      </c>
      <c r="N90" s="57">
        <f t="shared" si="21"/>
        <v>868618.33120000002</v>
      </c>
      <c r="O90" s="57">
        <f t="shared" si="22"/>
        <v>4270.5542000000005</v>
      </c>
      <c r="P90" s="57">
        <f t="shared" si="23"/>
        <v>33511.9</v>
      </c>
      <c r="Q90" s="57">
        <f t="shared" si="24"/>
        <v>426594.64370000002</v>
      </c>
      <c r="R90" s="92"/>
      <c r="S90" s="91"/>
      <c r="T90" s="27"/>
    </row>
    <row r="91" spans="1:20" s="22" customFormat="1" ht="12" hidden="1" x14ac:dyDescent="0.2">
      <c r="A91" s="62" t="s">
        <v>97</v>
      </c>
      <c r="B91" s="17" t="s">
        <v>50</v>
      </c>
      <c r="C91" s="107" t="s">
        <v>68</v>
      </c>
      <c r="D91" s="106">
        <v>6073.2</v>
      </c>
      <c r="E91" s="106">
        <v>30</v>
      </c>
      <c r="F91" s="106">
        <v>265</v>
      </c>
      <c r="G91" s="106">
        <v>71898.759999999995</v>
      </c>
      <c r="H91" s="106">
        <v>136.97</v>
      </c>
      <c r="I91" s="106">
        <v>14.62</v>
      </c>
      <c r="J91" s="106">
        <v>9.3699999999999992</v>
      </c>
      <c r="L91" s="125"/>
      <c r="M91" s="57">
        <f t="shared" si="20"/>
        <v>869746.69469370344</v>
      </c>
      <c r="N91" s="57">
        <f t="shared" si="21"/>
        <v>831846.20399999991</v>
      </c>
      <c r="O91" s="57">
        <f t="shared" si="22"/>
        <v>4109.1000000000004</v>
      </c>
      <c r="P91" s="57">
        <f t="shared" si="23"/>
        <v>36297.050000000003</v>
      </c>
      <c r="Q91" s="57">
        <f t="shared" si="24"/>
        <v>1051159.8711999999</v>
      </c>
      <c r="R91" s="92"/>
      <c r="S91" s="91"/>
      <c r="T91" s="27"/>
    </row>
    <row r="92" spans="1:20" s="22" customFormat="1" ht="12" hidden="1" x14ac:dyDescent="0.2">
      <c r="A92" s="62" t="s">
        <v>97</v>
      </c>
      <c r="B92" s="17" t="s">
        <v>50</v>
      </c>
      <c r="C92" s="107" t="s">
        <v>69</v>
      </c>
      <c r="D92" s="106">
        <v>10827.33</v>
      </c>
      <c r="E92" s="106">
        <v>24.37</v>
      </c>
      <c r="F92" s="106">
        <v>265</v>
      </c>
      <c r="G92" s="106">
        <v>76660.070000000007</v>
      </c>
      <c r="H92" s="106">
        <v>102.49</v>
      </c>
      <c r="I92" s="106">
        <v>7.37</v>
      </c>
      <c r="J92" s="106">
        <v>13.91</v>
      </c>
      <c r="L92" s="125"/>
      <c r="M92" s="57">
        <f t="shared" si="20"/>
        <v>1206741.0279541339</v>
      </c>
      <c r="N92" s="57">
        <f t="shared" si="21"/>
        <v>1109693.0517</v>
      </c>
      <c r="O92" s="57">
        <f t="shared" si="22"/>
        <v>2497.6813000000002</v>
      </c>
      <c r="P92" s="57">
        <f t="shared" si="23"/>
        <v>27159.85</v>
      </c>
      <c r="Q92" s="57">
        <f t="shared" si="24"/>
        <v>564984.71590000007</v>
      </c>
      <c r="R92" s="92"/>
      <c r="S92" s="91"/>
      <c r="T92" s="27"/>
    </row>
    <row r="93" spans="1:20" s="22" customFormat="1" ht="12" hidden="1" x14ac:dyDescent="0.2">
      <c r="A93" s="62" t="s">
        <v>97</v>
      </c>
      <c r="B93" s="17" t="s">
        <v>50</v>
      </c>
      <c r="C93" s="107" t="s">
        <v>70</v>
      </c>
      <c r="D93" s="106">
        <v>8182.29</v>
      </c>
      <c r="E93" s="106">
        <v>44.12</v>
      </c>
      <c r="F93" s="106">
        <v>265</v>
      </c>
      <c r="G93" s="106">
        <v>88713.25</v>
      </c>
      <c r="H93" s="106">
        <v>293.13</v>
      </c>
      <c r="I93" s="106">
        <v>21.05</v>
      </c>
      <c r="J93" s="106">
        <v>13.92</v>
      </c>
      <c r="L93" s="125"/>
      <c r="M93" s="57">
        <f t="shared" si="20"/>
        <v>3957551.5582732758</v>
      </c>
      <c r="N93" s="57">
        <f t="shared" si="21"/>
        <v>2398474.6677000001</v>
      </c>
      <c r="O93" s="57">
        <f t="shared" si="22"/>
        <v>12932.8956</v>
      </c>
      <c r="P93" s="57">
        <f t="shared" si="23"/>
        <v>77679.45</v>
      </c>
      <c r="Q93" s="57">
        <f t="shared" si="24"/>
        <v>1867413.9125000001</v>
      </c>
      <c r="R93" s="92"/>
      <c r="S93" s="91"/>
      <c r="T93" s="27"/>
    </row>
    <row r="94" spans="1:20" s="22" customFormat="1" ht="12" hidden="1" x14ac:dyDescent="0.2">
      <c r="A94" s="62" t="s">
        <v>97</v>
      </c>
      <c r="B94" s="17" t="s">
        <v>50</v>
      </c>
      <c r="C94" s="107" t="s">
        <v>71</v>
      </c>
      <c r="D94" s="106">
        <v>13351.87</v>
      </c>
      <c r="E94" s="106">
        <v>37.24</v>
      </c>
      <c r="F94" s="106">
        <v>265</v>
      </c>
      <c r="G94" s="106">
        <v>64029.84</v>
      </c>
      <c r="H94" s="106">
        <v>321.67</v>
      </c>
      <c r="I94" s="106">
        <v>10.050000000000001</v>
      </c>
      <c r="J94" s="106">
        <v>32</v>
      </c>
      <c r="L94" s="125"/>
      <c r="M94" s="57">
        <f t="shared" si="20"/>
        <v>6825688.6276250007</v>
      </c>
      <c r="N94" s="57">
        <f t="shared" si="21"/>
        <v>4294896.0229000002</v>
      </c>
      <c r="O94" s="57">
        <f t="shared" si="22"/>
        <v>11978.990800000001</v>
      </c>
      <c r="P94" s="57">
        <f t="shared" si="23"/>
        <v>85242.55</v>
      </c>
      <c r="Q94" s="57">
        <f t="shared" si="24"/>
        <v>643499.89199999999</v>
      </c>
      <c r="R94" s="92"/>
      <c r="S94" s="91"/>
      <c r="T94" s="27"/>
    </row>
    <row r="95" spans="1:20" s="22" customFormat="1" ht="12" hidden="1" x14ac:dyDescent="0.2">
      <c r="A95" s="62" t="s">
        <v>97</v>
      </c>
      <c r="B95" s="17" t="s">
        <v>50</v>
      </c>
      <c r="C95" s="107" t="s">
        <v>72</v>
      </c>
      <c r="D95" s="106">
        <v>10884.24</v>
      </c>
      <c r="E95" s="106">
        <v>24</v>
      </c>
      <c r="F95" s="106">
        <v>265</v>
      </c>
      <c r="G95" s="106">
        <v>92979.199999999997</v>
      </c>
      <c r="H95" s="106">
        <v>162.58000000000001</v>
      </c>
      <c r="I95" s="106">
        <v>9.27</v>
      </c>
      <c r="J95" s="106">
        <v>17.54</v>
      </c>
      <c r="L95" s="125"/>
      <c r="M95" s="57">
        <f t="shared" si="20"/>
        <v>1941735.1106937286</v>
      </c>
      <c r="N95" s="57">
        <f t="shared" si="21"/>
        <v>1769559.7392000002</v>
      </c>
      <c r="O95" s="57">
        <f t="shared" si="22"/>
        <v>3901.92</v>
      </c>
      <c r="P95" s="57">
        <f t="shared" si="23"/>
        <v>43083.700000000004</v>
      </c>
      <c r="Q95" s="57">
        <f t="shared" si="24"/>
        <v>861917.18399999989</v>
      </c>
      <c r="R95" s="92"/>
      <c r="S95" s="91"/>
      <c r="T95" s="27"/>
    </row>
    <row r="96" spans="1:20" s="22" customFormat="1" ht="12" hidden="1" x14ac:dyDescent="0.2">
      <c r="A96" s="62" t="s">
        <v>97</v>
      </c>
      <c r="B96" s="18" t="s">
        <v>52</v>
      </c>
      <c r="C96" s="108" t="s">
        <v>73</v>
      </c>
      <c r="D96" s="106">
        <v>11618.85</v>
      </c>
      <c r="E96" s="106">
        <v>39.54</v>
      </c>
      <c r="F96" s="106">
        <v>265</v>
      </c>
      <c r="G96" s="106">
        <v>99488.66</v>
      </c>
      <c r="H96" s="106">
        <v>368.89</v>
      </c>
      <c r="I96" s="106">
        <v>8.9499999999999993</v>
      </c>
      <c r="J96" s="106">
        <v>41.22</v>
      </c>
      <c r="L96" s="125"/>
      <c r="M96" s="57">
        <f t="shared" si="20"/>
        <v>7260990.37294784</v>
      </c>
      <c r="N96" s="57">
        <f t="shared" si="21"/>
        <v>4286077.5765000004</v>
      </c>
      <c r="O96" s="57">
        <f t="shared" si="22"/>
        <v>14585.910599999999</v>
      </c>
      <c r="P96" s="57">
        <f t="shared" si="23"/>
        <v>97755.849999999991</v>
      </c>
      <c r="Q96" s="57">
        <f t="shared" si="24"/>
        <v>890423.50699999998</v>
      </c>
      <c r="R96" s="92"/>
      <c r="S96" s="91"/>
      <c r="T96" s="27"/>
    </row>
    <row r="97" spans="1:20" s="22" customFormat="1" ht="12" hidden="1" x14ac:dyDescent="0.2">
      <c r="A97" s="62" t="s">
        <v>97</v>
      </c>
      <c r="B97" s="18" t="s">
        <v>52</v>
      </c>
      <c r="C97" s="108" t="s">
        <v>74</v>
      </c>
      <c r="D97" s="106">
        <v>14292</v>
      </c>
      <c r="E97" s="106">
        <v>36</v>
      </c>
      <c r="F97" s="106">
        <v>265</v>
      </c>
      <c r="G97" s="106">
        <v>119713.24</v>
      </c>
      <c r="H97" s="106">
        <v>345</v>
      </c>
      <c r="I97" s="106">
        <v>13.1</v>
      </c>
      <c r="J97" s="106">
        <v>26.34</v>
      </c>
      <c r="L97" s="125"/>
      <c r="M97" s="57">
        <f t="shared" si="20"/>
        <v>6654041.9817767655</v>
      </c>
      <c r="N97" s="57">
        <f t="shared" si="21"/>
        <v>4930740</v>
      </c>
      <c r="O97" s="57">
        <f t="shared" si="22"/>
        <v>12420</v>
      </c>
      <c r="P97" s="57">
        <f t="shared" si="23"/>
        <v>91425</v>
      </c>
      <c r="Q97" s="57">
        <f t="shared" si="24"/>
        <v>1568243.4440000001</v>
      </c>
      <c r="R97" s="92"/>
      <c r="S97" s="91"/>
      <c r="T97" s="27"/>
    </row>
    <row r="98" spans="1:20" s="22" customFormat="1" ht="12" hidden="1" x14ac:dyDescent="0.2">
      <c r="A98" s="62" t="s">
        <v>97</v>
      </c>
      <c r="B98" s="18" t="s">
        <v>52</v>
      </c>
      <c r="C98" s="108" t="s">
        <v>75</v>
      </c>
      <c r="D98" s="106">
        <v>7476.41</v>
      </c>
      <c r="E98" s="106">
        <v>45</v>
      </c>
      <c r="F98" s="106">
        <v>265</v>
      </c>
      <c r="G98" s="106">
        <v>112853.53</v>
      </c>
      <c r="H98" s="106">
        <v>303.04000000000002</v>
      </c>
      <c r="I98" s="106">
        <v>21.89</v>
      </c>
      <c r="J98" s="106">
        <v>13.85</v>
      </c>
      <c r="L98" s="125"/>
      <c r="M98" s="57">
        <f t="shared" si="20"/>
        <v>3410151.7534613721</v>
      </c>
      <c r="N98" s="57">
        <f t="shared" si="21"/>
        <v>2265651.2864000001</v>
      </c>
      <c r="O98" s="57">
        <f t="shared" si="22"/>
        <v>13636.800000000001</v>
      </c>
      <c r="P98" s="57">
        <f t="shared" si="23"/>
        <v>80305.600000000006</v>
      </c>
      <c r="Q98" s="57">
        <f t="shared" si="24"/>
        <v>2470363.7716999999</v>
      </c>
      <c r="R98" s="92"/>
      <c r="S98" s="91"/>
      <c r="T98" s="27"/>
    </row>
    <row r="99" spans="1:20" s="22" customFormat="1" ht="12" hidden="1" x14ac:dyDescent="0.2">
      <c r="A99" s="62" t="s">
        <v>97</v>
      </c>
      <c r="B99" s="18" t="s">
        <v>52</v>
      </c>
      <c r="C99" s="108" t="s">
        <v>76</v>
      </c>
      <c r="D99" s="106">
        <v>12064.29</v>
      </c>
      <c r="E99" s="106">
        <v>39.299999999999997</v>
      </c>
      <c r="F99" s="106">
        <v>265</v>
      </c>
      <c r="G99" s="106">
        <v>66234.649999999994</v>
      </c>
      <c r="H99" s="106">
        <v>798.37</v>
      </c>
      <c r="I99" s="106">
        <v>41.31</v>
      </c>
      <c r="J99" s="106">
        <v>19.329999999999998</v>
      </c>
      <c r="L99" s="125"/>
      <c r="M99" s="57">
        <f t="shared" si="20"/>
        <v>15210760.039940976</v>
      </c>
      <c r="N99" s="57">
        <f t="shared" si="21"/>
        <v>9631767.2072999999</v>
      </c>
      <c r="O99" s="57">
        <f t="shared" si="22"/>
        <v>31375.940999999999</v>
      </c>
      <c r="P99" s="57">
        <f t="shared" si="23"/>
        <v>211568.05</v>
      </c>
      <c r="Q99" s="57">
        <f t="shared" si="24"/>
        <v>2736153.3914999999</v>
      </c>
      <c r="R99" s="92"/>
      <c r="S99" s="91"/>
      <c r="T99" s="27"/>
    </row>
    <row r="100" spans="1:20" s="22" customFormat="1" ht="12" hidden="1" x14ac:dyDescent="0.2">
      <c r="A100" s="62" t="s">
        <v>97</v>
      </c>
      <c r="B100" s="18" t="s">
        <v>52</v>
      </c>
      <c r="C100" s="108" t="s">
        <v>77</v>
      </c>
      <c r="D100" s="106">
        <v>8655.5300000000007</v>
      </c>
      <c r="E100" s="106">
        <v>43.78</v>
      </c>
      <c r="F100" s="106">
        <v>265</v>
      </c>
      <c r="G100" s="106">
        <v>81650.399999999994</v>
      </c>
      <c r="H100" s="106">
        <v>835.59</v>
      </c>
      <c r="I100" s="106">
        <v>27.72</v>
      </c>
      <c r="J100" s="106">
        <v>30.14</v>
      </c>
      <c r="L100" s="125"/>
      <c r="M100" s="57">
        <f t="shared" si="20"/>
        <v>14663093.900769679</v>
      </c>
      <c r="N100" s="57">
        <f t="shared" si="21"/>
        <v>7232474.3127000006</v>
      </c>
      <c r="O100" s="57">
        <f t="shared" si="22"/>
        <v>36582.1302</v>
      </c>
      <c r="P100" s="57">
        <f t="shared" si="23"/>
        <v>221431.35</v>
      </c>
      <c r="Q100" s="57">
        <f t="shared" si="24"/>
        <v>2263349.0879999995</v>
      </c>
      <c r="R100" s="92"/>
      <c r="S100" s="91"/>
      <c r="T100" s="27"/>
    </row>
    <row r="101" spans="1:20" s="22" customFormat="1" ht="12" hidden="1" x14ac:dyDescent="0.2">
      <c r="A101" s="62" t="s">
        <v>97</v>
      </c>
      <c r="B101" s="18" t="s">
        <v>52</v>
      </c>
      <c r="C101" s="108" t="s">
        <v>78</v>
      </c>
      <c r="D101" s="106">
        <v>11026.83</v>
      </c>
      <c r="E101" s="106">
        <v>39.92</v>
      </c>
      <c r="F101" s="106">
        <v>265</v>
      </c>
      <c r="G101" s="106">
        <v>79189.649999999994</v>
      </c>
      <c r="H101" s="106">
        <v>445.17</v>
      </c>
      <c r="I101" s="106">
        <v>33.090000000000003</v>
      </c>
      <c r="J101" s="106">
        <v>13.46</v>
      </c>
      <c r="L101" s="125"/>
      <c r="M101" s="57">
        <f t="shared" si="20"/>
        <v>6999095.3583258549</v>
      </c>
      <c r="N101" s="57">
        <f t="shared" si="21"/>
        <v>4908813.9111000001</v>
      </c>
      <c r="O101" s="57">
        <f t="shared" si="22"/>
        <v>17771.186400000002</v>
      </c>
      <c r="P101" s="57">
        <f t="shared" si="23"/>
        <v>117970.05</v>
      </c>
      <c r="Q101" s="57">
        <f t="shared" si="24"/>
        <v>2620385.5185000002</v>
      </c>
      <c r="R101" s="92"/>
      <c r="S101" s="91"/>
      <c r="T101" s="27"/>
    </row>
    <row r="102" spans="1:20" s="22" customFormat="1" ht="12" hidden="1" x14ac:dyDescent="0.2">
      <c r="A102" s="62" t="s">
        <v>97</v>
      </c>
      <c r="B102" s="19" t="s">
        <v>53</v>
      </c>
      <c r="C102" s="109" t="s">
        <v>79</v>
      </c>
      <c r="D102" s="106">
        <v>7796.85</v>
      </c>
      <c r="E102" s="106">
        <v>44.43</v>
      </c>
      <c r="F102" s="106">
        <v>265</v>
      </c>
      <c r="G102" s="106">
        <v>110209.3</v>
      </c>
      <c r="H102" s="106">
        <v>310.42</v>
      </c>
      <c r="I102" s="106">
        <v>20.5</v>
      </c>
      <c r="J102" s="106">
        <v>15.14</v>
      </c>
      <c r="L102" s="125"/>
      <c r="M102" s="57">
        <f t="shared" si="20"/>
        <v>3815513.1186948498</v>
      </c>
      <c r="N102" s="57">
        <f t="shared" si="21"/>
        <v>2420298.1770000001</v>
      </c>
      <c r="O102" s="57">
        <f t="shared" si="22"/>
        <v>13791.9606</v>
      </c>
      <c r="P102" s="57">
        <f t="shared" si="23"/>
        <v>82261.3</v>
      </c>
      <c r="Q102" s="57">
        <f t="shared" si="24"/>
        <v>2259290.65</v>
      </c>
      <c r="R102" s="92"/>
      <c r="S102" s="91"/>
      <c r="T102" s="27"/>
    </row>
    <row r="103" spans="1:20" s="22" customFormat="1" ht="12" hidden="1" x14ac:dyDescent="0.2">
      <c r="A103" s="62" t="s">
        <v>97</v>
      </c>
      <c r="B103" s="19" t="s">
        <v>53</v>
      </c>
      <c r="C103" s="109" t="s">
        <v>80</v>
      </c>
      <c r="D103" s="106">
        <v>7459.2</v>
      </c>
      <c r="E103" s="106">
        <v>45</v>
      </c>
      <c r="F103" s="106">
        <v>265</v>
      </c>
      <c r="G103" s="106">
        <v>103310.85</v>
      </c>
      <c r="H103" s="106">
        <v>268.82</v>
      </c>
      <c r="I103" s="106">
        <v>16.96</v>
      </c>
      <c r="J103" s="106">
        <v>15.85</v>
      </c>
      <c r="L103" s="125"/>
      <c r="M103" s="57">
        <f t="shared" si="20"/>
        <v>3458682.5558611993</v>
      </c>
      <c r="N103" s="57">
        <f t="shared" si="21"/>
        <v>2005182.1439999999</v>
      </c>
      <c r="O103" s="57">
        <f t="shared" si="22"/>
        <v>12096.9</v>
      </c>
      <c r="P103" s="57">
        <f t="shared" si="23"/>
        <v>71237.3</v>
      </c>
      <c r="Q103" s="57">
        <f t="shared" si="24"/>
        <v>1752152.0160000003</v>
      </c>
      <c r="R103" s="92"/>
      <c r="S103" s="91"/>
      <c r="T103" s="27"/>
    </row>
    <row r="104" spans="1:20" s="22" customFormat="1" ht="12" hidden="1" x14ac:dyDescent="0.2">
      <c r="A104" s="62" t="s">
        <v>97</v>
      </c>
      <c r="B104" s="19" t="s">
        <v>53</v>
      </c>
      <c r="C104" s="109" t="s">
        <v>81</v>
      </c>
      <c r="D104" s="106">
        <v>7787.25</v>
      </c>
      <c r="E104" s="106">
        <v>44.45</v>
      </c>
      <c r="F104" s="106">
        <v>265</v>
      </c>
      <c r="G104" s="106">
        <v>119931.72</v>
      </c>
      <c r="H104" s="106">
        <v>272.22000000000003</v>
      </c>
      <c r="I104" s="106">
        <v>21.26</v>
      </c>
      <c r="J104" s="106">
        <v>12.81</v>
      </c>
      <c r="L104" s="125"/>
      <c r="M104" s="57">
        <f t="shared" si="20"/>
        <v>2777773.3623653399</v>
      </c>
      <c r="N104" s="57">
        <f t="shared" si="21"/>
        <v>2119845.1950000003</v>
      </c>
      <c r="O104" s="57">
        <f t="shared" si="22"/>
        <v>12100.179000000002</v>
      </c>
      <c r="P104" s="57">
        <f t="shared" si="23"/>
        <v>72138.3</v>
      </c>
      <c r="Q104" s="57">
        <f t="shared" si="24"/>
        <v>2549748.3672000002</v>
      </c>
      <c r="R104" s="92"/>
      <c r="S104" s="91"/>
      <c r="T104" s="27"/>
    </row>
    <row r="105" spans="1:20" s="22" customFormat="1" ht="12" hidden="1" x14ac:dyDescent="0.2">
      <c r="A105" s="62" t="s">
        <v>97</v>
      </c>
      <c r="B105" s="19" t="s">
        <v>53</v>
      </c>
      <c r="C105" s="109" t="s">
        <v>82</v>
      </c>
      <c r="D105" s="106">
        <v>7475.57</v>
      </c>
      <c r="E105" s="106">
        <v>45</v>
      </c>
      <c r="F105" s="106">
        <v>265</v>
      </c>
      <c r="G105" s="106">
        <v>79327.73</v>
      </c>
      <c r="H105" s="106">
        <v>124.93</v>
      </c>
      <c r="I105" s="106">
        <v>9.2799999999999994</v>
      </c>
      <c r="J105" s="106">
        <v>13.47</v>
      </c>
      <c r="L105" s="125"/>
      <c r="M105" s="57">
        <f t="shared" si="20"/>
        <v>1687973.5435149963</v>
      </c>
      <c r="N105" s="57">
        <f t="shared" si="21"/>
        <v>933922.96010000003</v>
      </c>
      <c r="O105" s="57">
        <f t="shared" si="22"/>
        <v>5621.85</v>
      </c>
      <c r="P105" s="57">
        <f t="shared" si="23"/>
        <v>33106.450000000004</v>
      </c>
      <c r="Q105" s="57">
        <f t="shared" si="24"/>
        <v>736161.33439999993</v>
      </c>
      <c r="R105" s="92"/>
      <c r="S105" s="91"/>
      <c r="T105" s="27"/>
    </row>
    <row r="106" spans="1:20" s="22" customFormat="1" ht="12" hidden="1" x14ac:dyDescent="0.2">
      <c r="A106" s="62" t="s">
        <v>97</v>
      </c>
      <c r="B106" s="19" t="s">
        <v>53</v>
      </c>
      <c r="C106" s="109" t="s">
        <v>83</v>
      </c>
      <c r="D106" s="106">
        <v>7543.74</v>
      </c>
      <c r="E106" s="106">
        <v>44.96</v>
      </c>
      <c r="F106" s="106">
        <v>265</v>
      </c>
      <c r="G106" s="106">
        <v>102925.75</v>
      </c>
      <c r="H106" s="106">
        <v>213.3</v>
      </c>
      <c r="I106" s="106">
        <v>10.73</v>
      </c>
      <c r="J106" s="106">
        <v>19.88</v>
      </c>
      <c r="L106" s="125"/>
      <c r="M106" s="57">
        <f t="shared" si="20"/>
        <v>3046092.1636599596</v>
      </c>
      <c r="N106" s="57">
        <f t="shared" si="21"/>
        <v>1609079.7420000001</v>
      </c>
      <c r="O106" s="57">
        <f t="shared" si="22"/>
        <v>9589.9680000000008</v>
      </c>
      <c r="P106" s="57">
        <f t="shared" si="23"/>
        <v>56524.5</v>
      </c>
      <c r="Q106" s="57">
        <f t="shared" si="24"/>
        <v>1104393.2975000001</v>
      </c>
      <c r="R106" s="92"/>
      <c r="S106" s="91"/>
      <c r="T106" s="27"/>
    </row>
    <row r="107" spans="1:20" s="22" customFormat="1" ht="12" hidden="1" x14ac:dyDescent="0.2">
      <c r="A107" s="62" t="s">
        <v>97</v>
      </c>
      <c r="B107" s="19" t="s">
        <v>53</v>
      </c>
      <c r="C107" s="109" t="s">
        <v>84</v>
      </c>
      <c r="D107" s="106">
        <v>7517.86</v>
      </c>
      <c r="E107" s="106">
        <v>44.94</v>
      </c>
      <c r="F107" s="106">
        <v>265</v>
      </c>
      <c r="G107" s="106">
        <v>80747.67</v>
      </c>
      <c r="H107" s="106">
        <v>464.15</v>
      </c>
      <c r="I107" s="106">
        <v>27.29</v>
      </c>
      <c r="J107" s="106">
        <v>17.010000000000002</v>
      </c>
      <c r="L107" s="125"/>
      <c r="M107" s="57">
        <f t="shared" ref="M107:M138" si="25">(D107+E107*F107-G107/J107)*H107</f>
        <v>6813670.689731922</v>
      </c>
      <c r="N107" s="57">
        <f t="shared" si="21"/>
        <v>3489414.7189999996</v>
      </c>
      <c r="O107" s="57">
        <f t="shared" si="22"/>
        <v>20858.900999999998</v>
      </c>
      <c r="P107" s="57">
        <f t="shared" si="23"/>
        <v>122999.75</v>
      </c>
      <c r="Q107" s="57">
        <f t="shared" si="24"/>
        <v>2203603.9142999998</v>
      </c>
      <c r="R107" s="92"/>
      <c r="S107" s="91"/>
      <c r="T107" s="27"/>
    </row>
    <row r="108" spans="1:20" s="22" customFormat="1" ht="12" hidden="1" x14ac:dyDescent="0.2">
      <c r="A108" s="62" t="s">
        <v>97</v>
      </c>
      <c r="B108" s="19" t="s">
        <v>53</v>
      </c>
      <c r="C108" s="109" t="s">
        <v>85</v>
      </c>
      <c r="D108" s="106">
        <v>7459.2</v>
      </c>
      <c r="E108" s="106">
        <v>45</v>
      </c>
      <c r="F108" s="106">
        <v>265</v>
      </c>
      <c r="G108" s="106">
        <v>105107.47</v>
      </c>
      <c r="H108" s="106">
        <v>178.76</v>
      </c>
      <c r="I108" s="106">
        <v>15.85</v>
      </c>
      <c r="J108" s="106">
        <v>11.28</v>
      </c>
      <c r="L108" s="125"/>
      <c r="M108" s="57">
        <f t="shared" si="25"/>
        <v>1799427.0975673757</v>
      </c>
      <c r="N108" s="57">
        <f t="shared" si="21"/>
        <v>1333406.5919999999</v>
      </c>
      <c r="O108" s="57">
        <f t="shared" si="22"/>
        <v>8044.2</v>
      </c>
      <c r="P108" s="57">
        <f t="shared" si="23"/>
        <v>47371.399999999994</v>
      </c>
      <c r="Q108" s="57">
        <f t="shared" si="24"/>
        <v>1665953.3995000001</v>
      </c>
      <c r="R108" s="92"/>
      <c r="S108" s="91"/>
      <c r="T108" s="27"/>
    </row>
    <row r="109" spans="1:20" s="22" customFormat="1" ht="12" hidden="1" x14ac:dyDescent="0.2">
      <c r="A109" s="62" t="s">
        <v>97</v>
      </c>
      <c r="B109" s="20" t="s">
        <v>51</v>
      </c>
      <c r="C109" s="110" t="s">
        <v>86</v>
      </c>
      <c r="D109" s="106">
        <v>8491.1200000000008</v>
      </c>
      <c r="E109" s="106">
        <v>43.65</v>
      </c>
      <c r="F109" s="106">
        <v>265</v>
      </c>
      <c r="G109" s="106">
        <v>67459.91</v>
      </c>
      <c r="H109" s="106">
        <v>359.54</v>
      </c>
      <c r="I109" s="106">
        <v>41.46</v>
      </c>
      <c r="J109" s="106">
        <v>8.67</v>
      </c>
      <c r="L109" s="125"/>
      <c r="M109" s="57">
        <f t="shared" si="25"/>
        <v>4414262.0082313735</v>
      </c>
      <c r="N109" s="57">
        <f t="shared" si="21"/>
        <v>3052897.2848000005</v>
      </c>
      <c r="O109" s="57">
        <f t="shared" si="22"/>
        <v>15693.921</v>
      </c>
      <c r="P109" s="57">
        <f t="shared" si="23"/>
        <v>95278.1</v>
      </c>
      <c r="Q109" s="57">
        <f t="shared" si="24"/>
        <v>2796887.8686000002</v>
      </c>
      <c r="R109" s="92"/>
      <c r="S109" s="91"/>
      <c r="T109" s="27"/>
    </row>
    <row r="110" spans="1:20" s="22" customFormat="1" ht="12" hidden="1" x14ac:dyDescent="0.2">
      <c r="A110" s="62" t="s">
        <v>97</v>
      </c>
      <c r="B110" s="20" t="s">
        <v>51</v>
      </c>
      <c r="C110" s="110" t="s">
        <v>87</v>
      </c>
      <c r="D110" s="106">
        <v>8221.2000000000007</v>
      </c>
      <c r="E110" s="106">
        <v>45</v>
      </c>
      <c r="F110" s="106">
        <v>265</v>
      </c>
      <c r="G110" s="106">
        <v>77803.28</v>
      </c>
      <c r="H110" s="106">
        <v>181</v>
      </c>
      <c r="I110" s="106">
        <v>11.28</v>
      </c>
      <c r="J110" s="106">
        <v>16.05</v>
      </c>
      <c r="L110" s="125"/>
      <c r="M110" s="57">
        <f t="shared" si="25"/>
        <v>2769054.4940809971</v>
      </c>
      <c r="N110" s="57">
        <f t="shared" ref="N110:N141" si="26">D110*H110</f>
        <v>1488037.2000000002</v>
      </c>
      <c r="O110" s="57">
        <f t="shared" ref="O110:O141" si="27">E110*H110</f>
        <v>8145</v>
      </c>
      <c r="P110" s="57">
        <f t="shared" ref="P110:P141" si="28">F110*H110</f>
        <v>47965</v>
      </c>
      <c r="Q110" s="57">
        <f t="shared" ref="Q110:Q141" si="29">G110*I110</f>
        <v>877620.99839999992</v>
      </c>
      <c r="R110" s="92"/>
      <c r="S110" s="91"/>
      <c r="T110" s="27"/>
    </row>
    <row r="111" spans="1:20" s="22" customFormat="1" ht="12" hidden="1" x14ac:dyDescent="0.2">
      <c r="A111" s="62" t="s">
        <v>97</v>
      </c>
      <c r="B111" s="20" t="s">
        <v>51</v>
      </c>
      <c r="C111" s="110" t="s">
        <v>88</v>
      </c>
      <c r="D111" s="106">
        <v>7469.21</v>
      </c>
      <c r="E111" s="106">
        <v>45</v>
      </c>
      <c r="F111" s="106">
        <v>265</v>
      </c>
      <c r="G111" s="106">
        <v>111874.85</v>
      </c>
      <c r="H111" s="106">
        <v>153.22</v>
      </c>
      <c r="I111" s="106">
        <v>6.26</v>
      </c>
      <c r="J111" s="106">
        <v>24.5</v>
      </c>
      <c r="L111" s="125"/>
      <c r="M111" s="57">
        <f t="shared" si="25"/>
        <v>2271929.2432612246</v>
      </c>
      <c r="N111" s="57">
        <f t="shared" si="26"/>
        <v>1144432.3562</v>
      </c>
      <c r="O111" s="57">
        <f t="shared" si="27"/>
        <v>6894.9</v>
      </c>
      <c r="P111" s="57">
        <f t="shared" si="28"/>
        <v>40603.300000000003</v>
      </c>
      <c r="Q111" s="57">
        <f t="shared" si="29"/>
        <v>700336.56099999999</v>
      </c>
      <c r="R111" s="92"/>
      <c r="S111" s="91"/>
      <c r="T111" s="27"/>
    </row>
    <row r="112" spans="1:20" s="22" customFormat="1" ht="12" hidden="1" x14ac:dyDescent="0.2">
      <c r="A112" s="62" t="s">
        <v>97</v>
      </c>
      <c r="B112" s="20" t="s">
        <v>51</v>
      </c>
      <c r="C112" s="110" t="s">
        <v>89</v>
      </c>
      <c r="D112" s="106">
        <v>7861.92</v>
      </c>
      <c r="E112" s="106">
        <v>44.37</v>
      </c>
      <c r="F112" s="106">
        <v>265</v>
      </c>
      <c r="G112" s="106">
        <v>94044.89</v>
      </c>
      <c r="H112" s="106">
        <v>534.13</v>
      </c>
      <c r="I112" s="106">
        <v>41.2</v>
      </c>
      <c r="J112" s="106">
        <v>12.96</v>
      </c>
      <c r="L112" s="125"/>
      <c r="M112" s="57">
        <f t="shared" si="25"/>
        <v>6603673.442172532</v>
      </c>
      <c r="N112" s="57">
        <f t="shared" si="26"/>
        <v>4199287.3295999998</v>
      </c>
      <c r="O112" s="57">
        <f t="shared" si="27"/>
        <v>23699.348099999999</v>
      </c>
      <c r="P112" s="57">
        <f t="shared" si="28"/>
        <v>141544.45000000001</v>
      </c>
      <c r="Q112" s="57">
        <f t="shared" si="29"/>
        <v>3874649.4680000003</v>
      </c>
      <c r="R112" s="92"/>
      <c r="S112" s="91"/>
      <c r="T112" s="27"/>
    </row>
    <row r="113" spans="1:20" s="22" customFormat="1" ht="12" hidden="1" x14ac:dyDescent="0.2">
      <c r="A113" s="62" t="s">
        <v>97</v>
      </c>
      <c r="B113" s="20" t="s">
        <v>51</v>
      </c>
      <c r="C113" s="110" t="s">
        <v>90</v>
      </c>
      <c r="D113" s="106">
        <v>9365.83</v>
      </c>
      <c r="E113" s="106">
        <v>42.54</v>
      </c>
      <c r="F113" s="106">
        <v>265</v>
      </c>
      <c r="G113" s="106">
        <v>76088.95</v>
      </c>
      <c r="H113" s="106">
        <v>398.39</v>
      </c>
      <c r="I113" s="106">
        <v>29.07</v>
      </c>
      <c r="J113" s="106">
        <v>13.71</v>
      </c>
      <c r="L113" s="125"/>
      <c r="M113" s="57">
        <f t="shared" si="25"/>
        <v>6011323.8631449305</v>
      </c>
      <c r="N113" s="57">
        <f t="shared" si="26"/>
        <v>3731253.0137</v>
      </c>
      <c r="O113" s="57">
        <f t="shared" si="27"/>
        <v>16947.510599999998</v>
      </c>
      <c r="P113" s="57">
        <f t="shared" si="28"/>
        <v>105573.34999999999</v>
      </c>
      <c r="Q113" s="57">
        <f t="shared" si="29"/>
        <v>2211905.7765000002</v>
      </c>
      <c r="R113" s="92"/>
      <c r="S113" s="91"/>
      <c r="T113" s="27"/>
    </row>
    <row r="114" spans="1:20" s="22" customFormat="1" ht="12" hidden="1" x14ac:dyDescent="0.2">
      <c r="A114" s="62" t="s">
        <v>97</v>
      </c>
      <c r="B114" s="20" t="s">
        <v>51</v>
      </c>
      <c r="C114" s="110" t="s">
        <v>91</v>
      </c>
      <c r="D114" s="106">
        <v>8511.01</v>
      </c>
      <c r="E114" s="106">
        <v>43.22</v>
      </c>
      <c r="F114" s="106">
        <v>265</v>
      </c>
      <c r="G114" s="106">
        <v>104871.35</v>
      </c>
      <c r="H114" s="106">
        <v>171.21</v>
      </c>
      <c r="I114" s="106">
        <v>13.53</v>
      </c>
      <c r="J114" s="106">
        <v>12.66</v>
      </c>
      <c r="L114" s="125"/>
      <c r="M114" s="57">
        <f t="shared" si="25"/>
        <v>1999841.1870194308</v>
      </c>
      <c r="N114" s="57">
        <f t="shared" si="26"/>
        <v>1457170.0221000002</v>
      </c>
      <c r="O114" s="57">
        <f t="shared" si="27"/>
        <v>7399.6962000000003</v>
      </c>
      <c r="P114" s="57">
        <f t="shared" si="28"/>
        <v>45370.65</v>
      </c>
      <c r="Q114" s="57">
        <f t="shared" si="29"/>
        <v>1418909.3655000001</v>
      </c>
      <c r="R114" s="92"/>
      <c r="S114" s="91"/>
      <c r="T114" s="27"/>
    </row>
    <row r="115" spans="1:20" s="22" customFormat="1" ht="12" hidden="1" x14ac:dyDescent="0.2">
      <c r="A115" s="62" t="s">
        <v>97</v>
      </c>
      <c r="B115" s="20" t="s">
        <v>51</v>
      </c>
      <c r="C115" s="110" t="s">
        <v>92</v>
      </c>
      <c r="D115" s="106">
        <v>7573.46</v>
      </c>
      <c r="E115" s="106">
        <v>45</v>
      </c>
      <c r="F115" s="106">
        <v>265</v>
      </c>
      <c r="G115" s="106">
        <v>83045.8</v>
      </c>
      <c r="H115" s="106">
        <v>93.96</v>
      </c>
      <c r="I115" s="106">
        <v>4.2699999999999996</v>
      </c>
      <c r="J115" s="106">
        <v>22.01</v>
      </c>
      <c r="L115" s="125"/>
      <c r="M115" s="57">
        <f t="shared" si="25"/>
        <v>1477555.384834893</v>
      </c>
      <c r="N115" s="57">
        <f t="shared" si="26"/>
        <v>711602.30160000001</v>
      </c>
      <c r="O115" s="57">
        <f t="shared" si="27"/>
        <v>4228.2</v>
      </c>
      <c r="P115" s="57">
        <f t="shared" si="28"/>
        <v>24899.399999999998</v>
      </c>
      <c r="Q115" s="57">
        <f t="shared" si="29"/>
        <v>354605.56599999999</v>
      </c>
      <c r="R115" s="92"/>
      <c r="S115" s="91"/>
      <c r="T115" s="27"/>
    </row>
    <row r="116" spans="1:20" s="22" customFormat="1" ht="12" hidden="1" x14ac:dyDescent="0.2">
      <c r="A116" s="62" t="s">
        <v>97</v>
      </c>
      <c r="B116" s="20" t="s">
        <v>51</v>
      </c>
      <c r="C116" s="110" t="s">
        <v>93</v>
      </c>
      <c r="D116" s="106">
        <v>7459.2</v>
      </c>
      <c r="E116" s="106">
        <v>45</v>
      </c>
      <c r="F116" s="106">
        <v>265</v>
      </c>
      <c r="G116" s="106">
        <v>103324.5</v>
      </c>
      <c r="H116" s="106">
        <v>22</v>
      </c>
      <c r="I116" s="106">
        <v>2.2000000000000002</v>
      </c>
      <c r="J116" s="106">
        <v>10</v>
      </c>
      <c r="L116" s="125"/>
      <c r="M116" s="57">
        <f t="shared" si="25"/>
        <v>199138.5</v>
      </c>
      <c r="N116" s="57">
        <f t="shared" si="26"/>
        <v>164102.39999999999</v>
      </c>
      <c r="O116" s="57">
        <f t="shared" si="27"/>
        <v>990</v>
      </c>
      <c r="P116" s="57">
        <f t="shared" si="28"/>
        <v>5830</v>
      </c>
      <c r="Q116" s="57">
        <f t="shared" si="29"/>
        <v>227313.90000000002</v>
      </c>
      <c r="R116" s="92"/>
      <c r="S116" s="91"/>
      <c r="T116" s="27"/>
    </row>
    <row r="117" spans="1:20" s="22" customFormat="1" ht="12" hidden="1" x14ac:dyDescent="0.2">
      <c r="A117" s="62" t="s">
        <v>97</v>
      </c>
      <c r="B117" s="20" t="s">
        <v>51</v>
      </c>
      <c r="C117" s="110" t="s">
        <v>94</v>
      </c>
      <c r="D117" s="106">
        <v>7459.2</v>
      </c>
      <c r="E117" s="106">
        <v>45</v>
      </c>
      <c r="F117" s="106">
        <v>265</v>
      </c>
      <c r="G117" s="106">
        <v>33070.75</v>
      </c>
      <c r="H117" s="106">
        <v>8</v>
      </c>
      <c r="I117" s="106">
        <v>1.68</v>
      </c>
      <c r="J117" s="106">
        <v>4.76</v>
      </c>
      <c r="L117" s="125"/>
      <c r="M117" s="57">
        <f t="shared" si="25"/>
        <v>99492.50756302521</v>
      </c>
      <c r="N117" s="57">
        <f t="shared" si="26"/>
        <v>59673.599999999999</v>
      </c>
      <c r="O117" s="57">
        <f t="shared" si="27"/>
        <v>360</v>
      </c>
      <c r="P117" s="57">
        <f t="shared" si="28"/>
        <v>2120</v>
      </c>
      <c r="Q117" s="57">
        <f t="shared" si="29"/>
        <v>55558.86</v>
      </c>
      <c r="R117" s="92"/>
      <c r="S117" s="91"/>
      <c r="T117" s="27"/>
    </row>
    <row r="118" spans="1:20" s="22" customFormat="1" ht="12" hidden="1" x14ac:dyDescent="0.2">
      <c r="A118" s="62" t="s">
        <v>97</v>
      </c>
      <c r="B118" s="20" t="s">
        <v>51</v>
      </c>
      <c r="C118" s="110" t="s">
        <v>95</v>
      </c>
      <c r="D118" s="106">
        <v>7560.24</v>
      </c>
      <c r="E118" s="106">
        <v>45</v>
      </c>
      <c r="F118" s="106">
        <v>265</v>
      </c>
      <c r="G118" s="106">
        <v>67572.539999999994</v>
      </c>
      <c r="H118" s="106">
        <v>30.36</v>
      </c>
      <c r="I118" s="106">
        <v>2.44</v>
      </c>
      <c r="J118" s="106">
        <v>12.47</v>
      </c>
      <c r="L118" s="125"/>
      <c r="M118" s="57">
        <f t="shared" si="25"/>
        <v>427056.86519711302</v>
      </c>
      <c r="N118" s="57">
        <f t="shared" si="26"/>
        <v>229528.88639999999</v>
      </c>
      <c r="O118" s="57">
        <f t="shared" si="27"/>
        <v>1366.2</v>
      </c>
      <c r="P118" s="57">
        <f t="shared" si="28"/>
        <v>8045.4</v>
      </c>
      <c r="Q118" s="57">
        <f t="shared" si="29"/>
        <v>164876.99759999997</v>
      </c>
      <c r="R118" s="92"/>
      <c r="S118" s="91"/>
      <c r="T118" s="27"/>
    </row>
    <row r="119" spans="1:20" s="22" customFormat="1" ht="12" hidden="1" x14ac:dyDescent="0.2">
      <c r="A119" s="62" t="s">
        <v>97</v>
      </c>
      <c r="B119" s="20" t="s">
        <v>51</v>
      </c>
      <c r="C119" s="110" t="s">
        <v>96</v>
      </c>
      <c r="D119" s="106">
        <v>7469.07</v>
      </c>
      <c r="E119" s="106">
        <v>45</v>
      </c>
      <c r="F119" s="106">
        <v>265</v>
      </c>
      <c r="G119" s="106">
        <v>90702.36</v>
      </c>
      <c r="H119" s="106">
        <v>155.33000000000001</v>
      </c>
      <c r="I119" s="106">
        <v>9.6199999999999992</v>
      </c>
      <c r="J119" s="106">
        <v>16.149999999999999</v>
      </c>
      <c r="L119" s="125"/>
      <c r="M119" s="57">
        <f t="shared" si="25"/>
        <v>2140109.525991641</v>
      </c>
      <c r="N119" s="57">
        <f t="shared" si="26"/>
        <v>1160170.6431</v>
      </c>
      <c r="O119" s="57">
        <f t="shared" si="27"/>
        <v>6989.85</v>
      </c>
      <c r="P119" s="57">
        <f t="shared" si="28"/>
        <v>41162.450000000004</v>
      </c>
      <c r="Q119" s="57">
        <f t="shared" si="29"/>
        <v>872556.70319999999</v>
      </c>
      <c r="R119" s="92"/>
      <c r="S119" s="91"/>
      <c r="T119" s="27"/>
    </row>
    <row r="120" spans="1:20" x14ac:dyDescent="0.25">
      <c r="A120" s="62" t="s">
        <v>101</v>
      </c>
      <c r="B120" s="73" t="s">
        <v>50</v>
      </c>
      <c r="C120" s="80" t="s">
        <v>139</v>
      </c>
      <c r="D120" s="85">
        <f>(1+$D$41)*D89</f>
        <v>9449.06</v>
      </c>
      <c r="E120" s="88">
        <f>(1+$E$41)*E89</f>
        <v>25.79</v>
      </c>
      <c r="F120" s="88">
        <f>(1+$F$41)*F89</f>
        <v>265</v>
      </c>
      <c r="G120" s="89">
        <f>(1+$G$41)*G89</f>
        <v>81696.52</v>
      </c>
      <c r="H120" s="100">
        <f>0.95*90.7333333333333</f>
        <v>86.19666666666663</v>
      </c>
      <c r="I120" s="85">
        <f>H120/J120</f>
        <v>5.788896351018578</v>
      </c>
      <c r="J120" s="101">
        <f>K120+1</f>
        <v>14.89</v>
      </c>
      <c r="K120" s="36">
        <f>J89</f>
        <v>13.89</v>
      </c>
      <c r="L120" s="126" t="str">
        <f>IF(((H89-H58)/H58)&gt;0,"Up","Down")</f>
        <v>Down</v>
      </c>
      <c r="M120" s="57">
        <f t="shared" si="25"/>
        <v>930642.9774477497</v>
      </c>
      <c r="N120" s="57">
        <f t="shared" si="26"/>
        <v>814477.47513333289</v>
      </c>
      <c r="O120" s="57">
        <f t="shared" si="27"/>
        <v>2223.0120333333325</v>
      </c>
      <c r="P120" s="57">
        <f t="shared" si="28"/>
        <v>22842.116666666658</v>
      </c>
      <c r="Q120" s="57">
        <f t="shared" si="29"/>
        <v>472932.68651891628</v>
      </c>
      <c r="R120" s="92">
        <f>M120-M89</f>
        <v>-13106.084739219281</v>
      </c>
    </row>
    <row r="121" spans="1:20" x14ac:dyDescent="0.25">
      <c r="A121" s="62" t="s">
        <v>101</v>
      </c>
      <c r="B121" s="73" t="s">
        <v>50</v>
      </c>
      <c r="C121" s="80" t="s">
        <v>140</v>
      </c>
      <c r="D121" s="85">
        <f t="shared" ref="D121:D150" si="30">(1+$D$41)*D90</f>
        <v>6868.72</v>
      </c>
      <c r="E121" s="88">
        <f t="shared" ref="E121:E150" si="31">(1+$E$41)*E90</f>
        <v>33.770000000000003</v>
      </c>
      <c r="F121" s="88">
        <f t="shared" ref="F121:F150" si="32">(1+$F$41)*F90</f>
        <v>265</v>
      </c>
      <c r="G121" s="89">
        <f t="shared" ref="G121:G150" si="33">(1+$G$41)*G90</f>
        <v>81879.97</v>
      </c>
      <c r="H121" s="100">
        <f>0.95*126.461111111111</f>
        <v>120.13805555555544</v>
      </c>
      <c r="I121" s="85">
        <f t="shared" ref="I121:I150" si="34">H121/J121</f>
        <v>4.7522965014064651</v>
      </c>
      <c r="J121" s="101">
        <f t="shared" ref="J121:J150" si="35">K121+1</f>
        <v>25.28</v>
      </c>
      <c r="K121" s="36">
        <f t="shared" ref="K121:K150" si="36">J90</f>
        <v>24.28</v>
      </c>
      <c r="L121" s="126" t="str">
        <f t="shared" ref="L121:L150" si="37">IF(((H90-H59)/H59)&gt;0,"Up","Down")</f>
        <v>Down</v>
      </c>
      <c r="M121" s="57">
        <f t="shared" si="25"/>
        <v>1511198.236058732</v>
      </c>
      <c r="N121" s="57">
        <f t="shared" si="26"/>
        <v>825194.66495555476</v>
      </c>
      <c r="O121" s="57">
        <f t="shared" si="27"/>
        <v>4057.0621361111075</v>
      </c>
      <c r="P121" s="57">
        <f t="shared" si="28"/>
        <v>31836.584722222193</v>
      </c>
      <c r="Q121" s="57">
        <f t="shared" si="29"/>
        <v>389117.89496626635</v>
      </c>
      <c r="R121" s="92">
        <f>M121-M90</f>
        <v>-62653.160521828104</v>
      </c>
    </row>
    <row r="122" spans="1:20" x14ac:dyDescent="0.25">
      <c r="A122" s="62" t="s">
        <v>101</v>
      </c>
      <c r="B122" s="73" t="s">
        <v>50</v>
      </c>
      <c r="C122" s="80" t="s">
        <v>141</v>
      </c>
      <c r="D122" s="85">
        <f t="shared" si="30"/>
        <v>6073.2</v>
      </c>
      <c r="E122" s="88">
        <f t="shared" si="31"/>
        <v>30</v>
      </c>
      <c r="F122" s="88">
        <f t="shared" si="32"/>
        <v>265</v>
      </c>
      <c r="G122" s="89">
        <f t="shared" si="33"/>
        <v>71898.759999999995</v>
      </c>
      <c r="H122" s="100">
        <f>1.05*136.966666666667</f>
        <v>143.81500000000037</v>
      </c>
      <c r="I122" s="85">
        <f t="shared" si="34"/>
        <v>13.868370298939285</v>
      </c>
      <c r="J122" s="101">
        <f t="shared" si="35"/>
        <v>10.37</v>
      </c>
      <c r="K122" s="36">
        <f t="shared" si="36"/>
        <v>9.3699999999999992</v>
      </c>
      <c r="L122" s="126" t="str">
        <f t="shared" si="37"/>
        <v>Up</v>
      </c>
      <c r="M122" s="57">
        <f t="shared" si="25"/>
        <v>1019627.8802854415</v>
      </c>
      <c r="N122" s="57">
        <f t="shared" si="26"/>
        <v>873417.25800000224</v>
      </c>
      <c r="O122" s="57">
        <f t="shared" si="27"/>
        <v>4314.4500000000107</v>
      </c>
      <c r="P122" s="57">
        <f t="shared" si="28"/>
        <v>38110.9750000001</v>
      </c>
      <c r="Q122" s="57">
        <f t="shared" si="29"/>
        <v>997118.62771456374</v>
      </c>
      <c r="R122" s="92">
        <f t="shared" ref="R122:R150" si="38">M122-M91</f>
        <v>149881.18559173809</v>
      </c>
    </row>
    <row r="123" spans="1:20" x14ac:dyDescent="0.25">
      <c r="A123" s="62" t="s">
        <v>101</v>
      </c>
      <c r="B123" s="73" t="s">
        <v>50</v>
      </c>
      <c r="C123" s="80" t="s">
        <v>142</v>
      </c>
      <c r="D123" s="85">
        <f t="shared" si="30"/>
        <v>10827.33</v>
      </c>
      <c r="E123" s="88">
        <f t="shared" si="31"/>
        <v>24.37</v>
      </c>
      <c r="F123" s="88">
        <f t="shared" si="32"/>
        <v>265</v>
      </c>
      <c r="G123" s="89">
        <f t="shared" si="33"/>
        <v>76660.070000000007</v>
      </c>
      <c r="H123" s="100">
        <f>0.95*102.488888888889</f>
        <v>97.364444444444544</v>
      </c>
      <c r="I123" s="85">
        <f t="shared" si="34"/>
        <v>6.5301438259184801</v>
      </c>
      <c r="J123" s="101">
        <f t="shared" si="35"/>
        <v>14.91</v>
      </c>
      <c r="K123" s="36">
        <f t="shared" si="36"/>
        <v>13.91</v>
      </c>
      <c r="L123" s="126" t="str">
        <f t="shared" si="37"/>
        <v>Down</v>
      </c>
      <c r="M123" s="57">
        <f t="shared" si="25"/>
        <v>1182380.1379061344</v>
      </c>
      <c r="N123" s="57">
        <f t="shared" si="26"/>
        <v>1054196.9702666677</v>
      </c>
      <c r="O123" s="57">
        <f t="shared" si="27"/>
        <v>2372.7715111111138</v>
      </c>
      <c r="P123" s="57">
        <f t="shared" si="28"/>
        <v>25801.577777777806</v>
      </c>
      <c r="Q123" s="57">
        <f t="shared" si="29"/>
        <v>500601.28280497855</v>
      </c>
      <c r="R123" s="92">
        <f t="shared" si="38"/>
        <v>-24360.890047999565</v>
      </c>
    </row>
    <row r="124" spans="1:20" x14ac:dyDescent="0.25">
      <c r="A124" s="62" t="s">
        <v>101</v>
      </c>
      <c r="B124" s="73" t="s">
        <v>50</v>
      </c>
      <c r="C124" s="80" t="s">
        <v>143</v>
      </c>
      <c r="D124" s="85">
        <f t="shared" si="30"/>
        <v>8182.29</v>
      </c>
      <c r="E124" s="88">
        <f t="shared" si="31"/>
        <v>44.12</v>
      </c>
      <c r="F124" s="88">
        <f t="shared" si="32"/>
        <v>265</v>
      </c>
      <c r="G124" s="89">
        <f t="shared" si="33"/>
        <v>88713.25</v>
      </c>
      <c r="H124" s="100">
        <f>0.95*293.127777777778</f>
        <v>278.47138888888912</v>
      </c>
      <c r="I124" s="85">
        <f t="shared" si="34"/>
        <v>18.664302204349138</v>
      </c>
      <c r="J124" s="101">
        <f t="shared" si="35"/>
        <v>14.92</v>
      </c>
      <c r="K124" s="36">
        <f t="shared" si="36"/>
        <v>13.92</v>
      </c>
      <c r="L124" s="126" t="str">
        <f t="shared" si="37"/>
        <v>Down</v>
      </c>
      <c r="M124" s="57">
        <f t="shared" si="25"/>
        <v>3878594.5376728061</v>
      </c>
      <c r="N124" s="57">
        <f t="shared" si="26"/>
        <v>2278533.6605916684</v>
      </c>
      <c r="O124" s="57">
        <f t="shared" si="27"/>
        <v>12286.157677777788</v>
      </c>
      <c r="P124" s="57">
        <f t="shared" si="28"/>
        <v>73794.918055555623</v>
      </c>
      <c r="Q124" s="57">
        <f t="shared" si="29"/>
        <v>1655770.9075299762</v>
      </c>
      <c r="R124" s="92">
        <f t="shared" si="38"/>
        <v>-78957.020600469783</v>
      </c>
    </row>
    <row r="125" spans="1:20" x14ac:dyDescent="0.25">
      <c r="A125" s="62" t="s">
        <v>101</v>
      </c>
      <c r="B125" s="73" t="s">
        <v>50</v>
      </c>
      <c r="C125" s="80" t="s">
        <v>144</v>
      </c>
      <c r="D125" s="85">
        <f t="shared" si="30"/>
        <v>13351.87</v>
      </c>
      <c r="E125" s="88">
        <f t="shared" si="31"/>
        <v>37.24</v>
      </c>
      <c r="F125" s="88">
        <f t="shared" si="32"/>
        <v>265</v>
      </c>
      <c r="G125" s="89">
        <f t="shared" si="33"/>
        <v>64029.84</v>
      </c>
      <c r="H125" s="100">
        <f>0.95*321.666666666667</f>
        <v>305.58333333333366</v>
      </c>
      <c r="I125" s="85">
        <f t="shared" si="34"/>
        <v>9.2601010101010193</v>
      </c>
      <c r="J125" s="101">
        <f t="shared" si="35"/>
        <v>33</v>
      </c>
      <c r="K125" s="36">
        <f t="shared" si="36"/>
        <v>32</v>
      </c>
      <c r="L125" s="126" t="str">
        <f t="shared" si="37"/>
        <v>Down</v>
      </c>
      <c r="M125" s="57">
        <f t="shared" si="25"/>
        <v>6502865.8381060669</v>
      </c>
      <c r="N125" s="57">
        <f t="shared" si="26"/>
        <v>4080108.9408333381</v>
      </c>
      <c r="O125" s="57">
        <f t="shared" si="27"/>
        <v>11379.923333333347</v>
      </c>
      <c r="P125" s="57">
        <f t="shared" si="28"/>
        <v>80979.583333333416</v>
      </c>
      <c r="Q125" s="57">
        <f t="shared" si="29"/>
        <v>592922.7860606066</v>
      </c>
      <c r="R125" s="92">
        <f t="shared" si="38"/>
        <v>-322822.78951893374</v>
      </c>
    </row>
    <row r="126" spans="1:20" x14ac:dyDescent="0.25">
      <c r="A126" s="62" t="s">
        <v>101</v>
      </c>
      <c r="B126" s="73" t="s">
        <v>50</v>
      </c>
      <c r="C126" s="80" t="s">
        <v>145</v>
      </c>
      <c r="D126" s="85">
        <f t="shared" si="30"/>
        <v>10884.24</v>
      </c>
      <c r="E126" s="88">
        <f t="shared" si="31"/>
        <v>24</v>
      </c>
      <c r="F126" s="88">
        <f t="shared" si="32"/>
        <v>265</v>
      </c>
      <c r="G126" s="89">
        <f t="shared" si="33"/>
        <v>92979.199999999997</v>
      </c>
      <c r="H126" s="100">
        <f>1.05*162.583333333333</f>
        <v>170.71249999999966</v>
      </c>
      <c r="I126" s="85">
        <f t="shared" si="34"/>
        <v>9.2077939590075335</v>
      </c>
      <c r="J126" s="101">
        <f t="shared" si="35"/>
        <v>18.54</v>
      </c>
      <c r="K126" s="36">
        <f t="shared" si="36"/>
        <v>17.54</v>
      </c>
      <c r="L126" s="126" t="str">
        <f t="shared" si="37"/>
        <v>Up</v>
      </c>
      <c r="M126" s="57">
        <f t="shared" si="25"/>
        <v>2087674.0049266408</v>
      </c>
      <c r="N126" s="57">
        <f t="shared" si="26"/>
        <v>1858075.8209999963</v>
      </c>
      <c r="O126" s="57">
        <f t="shared" si="27"/>
        <v>4097.0999999999922</v>
      </c>
      <c r="P126" s="57">
        <f t="shared" si="28"/>
        <v>45238.812499999913</v>
      </c>
      <c r="Q126" s="57">
        <f t="shared" si="29"/>
        <v>856133.31607335329</v>
      </c>
      <c r="R126" s="92">
        <f t="shared" si="38"/>
        <v>145938.89423291222</v>
      </c>
    </row>
    <row r="127" spans="1:20" x14ac:dyDescent="0.25">
      <c r="A127" s="62" t="s">
        <v>101</v>
      </c>
      <c r="B127" s="74" t="s">
        <v>52</v>
      </c>
      <c r="C127" s="81" t="s">
        <v>146</v>
      </c>
      <c r="D127" s="85">
        <f t="shared" si="30"/>
        <v>11618.85</v>
      </c>
      <c r="E127" s="88">
        <f t="shared" si="31"/>
        <v>39.54</v>
      </c>
      <c r="F127" s="88">
        <f t="shared" si="32"/>
        <v>265</v>
      </c>
      <c r="G127" s="89">
        <f t="shared" si="33"/>
        <v>99488.66</v>
      </c>
      <c r="H127" s="100">
        <f>1.05*368.888888888889</f>
        <v>387.33333333333348</v>
      </c>
      <c r="I127" s="85">
        <f t="shared" si="34"/>
        <v>9.1741670614242885</v>
      </c>
      <c r="J127" s="101">
        <f t="shared" si="35"/>
        <v>42.22</v>
      </c>
      <c r="K127" s="36">
        <f t="shared" si="36"/>
        <v>41.22</v>
      </c>
      <c r="L127" s="126" t="str">
        <f t="shared" si="37"/>
        <v>Up</v>
      </c>
      <c r="M127" s="57">
        <f t="shared" si="25"/>
        <v>7646159.7124427622</v>
      </c>
      <c r="N127" s="57">
        <f t="shared" si="26"/>
        <v>4500367.9000000022</v>
      </c>
      <c r="O127" s="57">
        <f t="shared" si="27"/>
        <v>15315.160000000005</v>
      </c>
      <c r="P127" s="57">
        <f t="shared" si="28"/>
        <v>102643.33333333337</v>
      </c>
      <c r="Q127" s="57">
        <f t="shared" si="29"/>
        <v>912725.58755724016</v>
      </c>
      <c r="R127" s="92">
        <f t="shared" si="38"/>
        <v>385169.3394949222</v>
      </c>
    </row>
    <row r="128" spans="1:20" x14ac:dyDescent="0.25">
      <c r="A128" s="62" t="s">
        <v>101</v>
      </c>
      <c r="B128" s="74" t="s">
        <v>52</v>
      </c>
      <c r="C128" s="81" t="s">
        <v>147</v>
      </c>
      <c r="D128" s="85">
        <f t="shared" si="30"/>
        <v>14292</v>
      </c>
      <c r="E128" s="88">
        <f t="shared" si="31"/>
        <v>36</v>
      </c>
      <c r="F128" s="88">
        <f t="shared" si="32"/>
        <v>265</v>
      </c>
      <c r="G128" s="89">
        <f t="shared" si="33"/>
        <v>119713.24</v>
      </c>
      <c r="H128" s="100">
        <f>1.05*345</f>
        <v>362.25</v>
      </c>
      <c r="I128" s="85">
        <f t="shared" si="34"/>
        <v>13.249817117776152</v>
      </c>
      <c r="J128" s="101">
        <f t="shared" si="35"/>
        <v>27.34</v>
      </c>
      <c r="K128" s="36">
        <f t="shared" si="36"/>
        <v>26.34</v>
      </c>
      <c r="L128" s="126" t="str">
        <f t="shared" si="37"/>
        <v>Up</v>
      </c>
      <c r="M128" s="57">
        <f t="shared" si="25"/>
        <v>7046963.4634235548</v>
      </c>
      <c r="N128" s="57">
        <f t="shared" si="26"/>
        <v>5177277</v>
      </c>
      <c r="O128" s="57">
        <f t="shared" si="27"/>
        <v>13041</v>
      </c>
      <c r="P128" s="57">
        <f t="shared" si="28"/>
        <v>95996.25</v>
      </c>
      <c r="Q128" s="57">
        <f t="shared" si="29"/>
        <v>1586178.5365764447</v>
      </c>
      <c r="R128" s="92">
        <f t="shared" si="38"/>
        <v>392921.48164678924</v>
      </c>
    </row>
    <row r="129" spans="1:18" x14ac:dyDescent="0.25">
      <c r="A129" s="62" t="s">
        <v>101</v>
      </c>
      <c r="B129" s="74" t="s">
        <v>52</v>
      </c>
      <c r="C129" s="81" t="s">
        <v>148</v>
      </c>
      <c r="D129" s="85">
        <f t="shared" si="30"/>
        <v>7476.41</v>
      </c>
      <c r="E129" s="88">
        <f t="shared" si="31"/>
        <v>45</v>
      </c>
      <c r="F129" s="88">
        <f t="shared" si="32"/>
        <v>265</v>
      </c>
      <c r="G129" s="89">
        <f t="shared" si="33"/>
        <v>112853.53</v>
      </c>
      <c r="H129" s="100">
        <f>0.95*303.044444444444</f>
        <v>287.89222222222179</v>
      </c>
      <c r="I129" s="85">
        <f t="shared" si="34"/>
        <v>19.386681631126049</v>
      </c>
      <c r="J129" s="101">
        <f t="shared" si="35"/>
        <v>14.85</v>
      </c>
      <c r="K129" s="36">
        <f t="shared" si="36"/>
        <v>13.85</v>
      </c>
      <c r="L129" s="126" t="str">
        <f t="shared" si="37"/>
        <v>Down</v>
      </c>
      <c r="M129" s="57">
        <f t="shared" si="25"/>
        <v>3397659.582085704</v>
      </c>
      <c r="N129" s="57">
        <f t="shared" si="26"/>
        <v>2152400.289144441</v>
      </c>
      <c r="O129" s="57">
        <f t="shared" si="27"/>
        <v>12955.14999999998</v>
      </c>
      <c r="P129" s="57">
        <f t="shared" si="28"/>
        <v>76291.438888888777</v>
      </c>
      <c r="Q129" s="57">
        <f t="shared" si="29"/>
        <v>2187855.4570587324</v>
      </c>
      <c r="R129" s="92">
        <f t="shared" si="38"/>
        <v>-12492.171375668142</v>
      </c>
    </row>
    <row r="130" spans="1:18" x14ac:dyDescent="0.25">
      <c r="A130" s="62" t="s">
        <v>101</v>
      </c>
      <c r="B130" s="74" t="s">
        <v>52</v>
      </c>
      <c r="C130" s="81" t="s">
        <v>149</v>
      </c>
      <c r="D130" s="85">
        <f t="shared" si="30"/>
        <v>12064.29</v>
      </c>
      <c r="E130" s="88">
        <f t="shared" si="31"/>
        <v>39.299999999999997</v>
      </c>
      <c r="F130" s="88">
        <f t="shared" si="32"/>
        <v>265</v>
      </c>
      <c r="G130" s="89">
        <f t="shared" si="33"/>
        <v>66234.649999999994</v>
      </c>
      <c r="H130" s="100">
        <f>0.95*798.366444444445</f>
        <v>758.44812222222276</v>
      </c>
      <c r="I130" s="85">
        <f t="shared" si="34"/>
        <v>37.306843198338555</v>
      </c>
      <c r="J130" s="101">
        <f t="shared" si="35"/>
        <v>20.329999999999998</v>
      </c>
      <c r="K130" s="36">
        <f t="shared" si="36"/>
        <v>19.329999999999998</v>
      </c>
      <c r="L130" s="126" t="str">
        <f t="shared" si="37"/>
        <v>Down</v>
      </c>
      <c r="M130" s="57">
        <f t="shared" si="25"/>
        <v>14577990.363480845</v>
      </c>
      <c r="N130" s="57">
        <f t="shared" si="26"/>
        <v>9150138.0964443404</v>
      </c>
      <c r="O130" s="57">
        <f t="shared" si="27"/>
        <v>29807.011203333353</v>
      </c>
      <c r="P130" s="57">
        <f t="shared" si="28"/>
        <v>200988.75238888903</v>
      </c>
      <c r="Q130" s="57">
        <f t="shared" si="29"/>
        <v>2471005.7018468347</v>
      </c>
      <c r="R130" s="92">
        <f t="shared" si="38"/>
        <v>-632769.67646013014</v>
      </c>
    </row>
    <row r="131" spans="1:18" x14ac:dyDescent="0.25">
      <c r="A131" s="62" t="s">
        <v>101</v>
      </c>
      <c r="B131" s="74" t="s">
        <v>52</v>
      </c>
      <c r="C131" s="81" t="s">
        <v>150</v>
      </c>
      <c r="D131" s="85">
        <f t="shared" si="30"/>
        <v>8655.5300000000007</v>
      </c>
      <c r="E131" s="88">
        <f t="shared" si="31"/>
        <v>43.78</v>
      </c>
      <c r="F131" s="88">
        <f t="shared" si="32"/>
        <v>265</v>
      </c>
      <c r="G131" s="89">
        <f t="shared" si="33"/>
        <v>81650.399999999994</v>
      </c>
      <c r="H131" s="100">
        <f>0.95*835.588611111112</f>
        <v>793.80918055555628</v>
      </c>
      <c r="I131" s="85">
        <f t="shared" si="34"/>
        <v>25.491624295297246</v>
      </c>
      <c r="J131" s="101">
        <f t="shared" si="35"/>
        <v>31.14</v>
      </c>
      <c r="K131" s="36">
        <f t="shared" si="36"/>
        <v>30.14</v>
      </c>
      <c r="L131" s="126" t="str">
        <f t="shared" si="37"/>
        <v>Down</v>
      </c>
      <c r="M131" s="57">
        <f t="shared" si="25"/>
        <v>13998973.826264696</v>
      </c>
      <c r="N131" s="57">
        <f t="shared" si="26"/>
        <v>6870839.1765740346</v>
      </c>
      <c r="O131" s="57">
        <f t="shared" si="27"/>
        <v>34752.965924722252</v>
      </c>
      <c r="P131" s="57">
        <f t="shared" si="28"/>
        <v>210359.4328472224</v>
      </c>
      <c r="Q131" s="57">
        <f t="shared" si="29"/>
        <v>2081401.3203607381</v>
      </c>
      <c r="R131" s="92">
        <f t="shared" si="38"/>
        <v>-664120.07450498268</v>
      </c>
    </row>
    <row r="132" spans="1:18" x14ac:dyDescent="0.25">
      <c r="A132" s="62" t="s">
        <v>101</v>
      </c>
      <c r="B132" s="74" t="s">
        <v>52</v>
      </c>
      <c r="C132" s="81" t="s">
        <v>151</v>
      </c>
      <c r="D132" s="85">
        <f t="shared" si="30"/>
        <v>11026.83</v>
      </c>
      <c r="E132" s="88">
        <f t="shared" si="31"/>
        <v>39.92</v>
      </c>
      <c r="F132" s="88">
        <f t="shared" si="32"/>
        <v>265</v>
      </c>
      <c r="G132" s="89">
        <f t="shared" si="33"/>
        <v>79189.649999999994</v>
      </c>
      <c r="H132" s="100">
        <f>0.95*445.166666666667</f>
        <v>422.90833333333364</v>
      </c>
      <c r="I132" s="85">
        <f t="shared" si="34"/>
        <v>29.246772706316296</v>
      </c>
      <c r="J132" s="101">
        <f t="shared" si="35"/>
        <v>14.46</v>
      </c>
      <c r="K132" s="36">
        <f t="shared" si="36"/>
        <v>13.46</v>
      </c>
      <c r="L132" s="126" t="str">
        <f t="shared" si="37"/>
        <v>Down</v>
      </c>
      <c r="M132" s="57">
        <f t="shared" si="25"/>
        <v>6821159.279673934</v>
      </c>
      <c r="N132" s="57">
        <f t="shared" si="26"/>
        <v>4663338.2972500036</v>
      </c>
      <c r="O132" s="57">
        <f t="shared" si="27"/>
        <v>16882.500666666681</v>
      </c>
      <c r="P132" s="57">
        <f t="shared" si="28"/>
        <v>112070.70833333342</v>
      </c>
      <c r="Q132" s="57">
        <f t="shared" si="29"/>
        <v>2316041.69424274</v>
      </c>
      <c r="R132" s="92">
        <f t="shared" si="38"/>
        <v>-177936.07865192089</v>
      </c>
    </row>
    <row r="133" spans="1:18" x14ac:dyDescent="0.25">
      <c r="A133" s="62" t="s">
        <v>101</v>
      </c>
      <c r="B133" s="19" t="s">
        <v>53</v>
      </c>
      <c r="C133" s="82" t="s">
        <v>152</v>
      </c>
      <c r="D133" s="85">
        <f t="shared" si="30"/>
        <v>7796.85</v>
      </c>
      <c r="E133" s="88">
        <f t="shared" si="31"/>
        <v>44.43</v>
      </c>
      <c r="F133" s="88">
        <f t="shared" si="32"/>
        <v>265</v>
      </c>
      <c r="G133" s="89">
        <f t="shared" si="33"/>
        <v>110209.3</v>
      </c>
      <c r="H133" s="100">
        <f>1.05*310.421111111111</f>
        <v>325.94216666666654</v>
      </c>
      <c r="I133" s="85">
        <f t="shared" si="34"/>
        <v>20.194681949607592</v>
      </c>
      <c r="J133" s="101">
        <f t="shared" si="35"/>
        <v>16.14</v>
      </c>
      <c r="K133" s="36">
        <f t="shared" si="36"/>
        <v>15.14</v>
      </c>
      <c r="L133" s="126" t="str">
        <f t="shared" si="37"/>
        <v>Up</v>
      </c>
      <c r="M133" s="57">
        <f t="shared" si="25"/>
        <v>4153307.1940111108</v>
      </c>
      <c r="N133" s="57">
        <f t="shared" si="26"/>
        <v>2541322.1821749993</v>
      </c>
      <c r="O133" s="57">
        <f t="shared" si="27"/>
        <v>14481.610464999994</v>
      </c>
      <c r="P133" s="57">
        <f t="shared" si="28"/>
        <v>86374.674166666635</v>
      </c>
      <c r="Q133" s="57">
        <f t="shared" si="29"/>
        <v>2225641.7613888881</v>
      </c>
      <c r="R133" s="92">
        <f t="shared" si="38"/>
        <v>337794.07531626103</v>
      </c>
    </row>
    <row r="134" spans="1:18" x14ac:dyDescent="0.25">
      <c r="A134" s="62" t="s">
        <v>101</v>
      </c>
      <c r="B134" s="19" t="s">
        <v>53</v>
      </c>
      <c r="C134" s="82" t="s">
        <v>153</v>
      </c>
      <c r="D134" s="85">
        <f t="shared" si="30"/>
        <v>7459.2</v>
      </c>
      <c r="E134" s="88">
        <f t="shared" si="31"/>
        <v>45</v>
      </c>
      <c r="F134" s="88">
        <f t="shared" si="32"/>
        <v>265</v>
      </c>
      <c r="G134" s="89">
        <f t="shared" si="33"/>
        <v>103310.85</v>
      </c>
      <c r="H134" s="100">
        <f>1.05*268.822222222223</f>
        <v>282.26333333333417</v>
      </c>
      <c r="I134" s="85">
        <f t="shared" si="34"/>
        <v>16.751533135509444</v>
      </c>
      <c r="J134" s="101">
        <f t="shared" si="35"/>
        <v>16.850000000000001</v>
      </c>
      <c r="K134" s="36">
        <f t="shared" si="36"/>
        <v>15.85</v>
      </c>
      <c r="L134" s="126" t="str">
        <f t="shared" si="37"/>
        <v>Up</v>
      </c>
      <c r="M134" s="57">
        <f t="shared" si="25"/>
        <v>3740833.7789673707</v>
      </c>
      <c r="N134" s="57">
        <f t="shared" si="26"/>
        <v>2105458.656000006</v>
      </c>
      <c r="O134" s="57">
        <f t="shared" si="27"/>
        <v>12701.850000000039</v>
      </c>
      <c r="P134" s="57">
        <f t="shared" si="28"/>
        <v>74799.783333333558</v>
      </c>
      <c r="Q134" s="57">
        <f t="shared" si="29"/>
        <v>1730615.127032646</v>
      </c>
      <c r="R134" s="92">
        <f t="shared" si="38"/>
        <v>282151.22310617147</v>
      </c>
    </row>
    <row r="135" spans="1:18" x14ac:dyDescent="0.25">
      <c r="A135" s="62" t="s">
        <v>101</v>
      </c>
      <c r="B135" s="19" t="s">
        <v>53</v>
      </c>
      <c r="C135" s="82" t="s">
        <v>154</v>
      </c>
      <c r="D135" s="85">
        <f t="shared" si="30"/>
        <v>7787.25</v>
      </c>
      <c r="E135" s="88">
        <f t="shared" si="31"/>
        <v>44.45</v>
      </c>
      <c r="F135" s="88">
        <f t="shared" si="32"/>
        <v>265</v>
      </c>
      <c r="G135" s="89">
        <f t="shared" si="33"/>
        <v>119931.72</v>
      </c>
      <c r="H135" s="100">
        <f>0.95*272.222222222223</f>
        <v>258.61111111111188</v>
      </c>
      <c r="I135" s="85">
        <f t="shared" si="34"/>
        <v>18.72636575750267</v>
      </c>
      <c r="J135" s="101">
        <f t="shared" si="35"/>
        <v>13.81</v>
      </c>
      <c r="K135" s="36">
        <f t="shared" si="36"/>
        <v>12.81</v>
      </c>
      <c r="L135" s="126" t="str">
        <f t="shared" si="37"/>
        <v>Down</v>
      </c>
      <c r="M135" s="57">
        <f t="shared" si="25"/>
        <v>2814229.0509091723</v>
      </c>
      <c r="N135" s="57">
        <f t="shared" si="26"/>
        <v>2013869.3750000061</v>
      </c>
      <c r="O135" s="57">
        <f t="shared" si="27"/>
        <v>11495.263888888923</v>
      </c>
      <c r="P135" s="57">
        <f t="shared" si="28"/>
        <v>68531.944444444642</v>
      </c>
      <c r="Q135" s="57">
        <f t="shared" si="29"/>
        <v>2245885.2546463981</v>
      </c>
      <c r="R135" s="92">
        <f t="shared" si="38"/>
        <v>36455.688543832395</v>
      </c>
    </row>
    <row r="136" spans="1:18" x14ac:dyDescent="0.25">
      <c r="A136" s="62" t="s">
        <v>101</v>
      </c>
      <c r="B136" s="19" t="s">
        <v>53</v>
      </c>
      <c r="C136" s="82" t="s">
        <v>155</v>
      </c>
      <c r="D136" s="85">
        <f t="shared" si="30"/>
        <v>7475.57</v>
      </c>
      <c r="E136" s="88">
        <f t="shared" si="31"/>
        <v>45</v>
      </c>
      <c r="F136" s="88">
        <f t="shared" si="32"/>
        <v>265</v>
      </c>
      <c r="G136" s="89">
        <f t="shared" si="33"/>
        <v>79327.73</v>
      </c>
      <c r="H136" s="100">
        <f>1.05*124.933333333333</f>
        <v>131.17999999999964</v>
      </c>
      <c r="I136" s="85">
        <f t="shared" si="34"/>
        <v>9.0656530753282407</v>
      </c>
      <c r="J136" s="101">
        <f t="shared" si="35"/>
        <v>14.47</v>
      </c>
      <c r="K136" s="36">
        <f t="shared" si="36"/>
        <v>13.47</v>
      </c>
      <c r="L136" s="126" t="str">
        <f t="shared" si="37"/>
        <v>Up</v>
      </c>
      <c r="M136" s="57">
        <f t="shared" si="25"/>
        <v>1825809.0931666847</v>
      </c>
      <c r="N136" s="57">
        <f t="shared" si="26"/>
        <v>980645.27259999723</v>
      </c>
      <c r="O136" s="57">
        <f t="shared" si="27"/>
        <v>5903.099999999984</v>
      </c>
      <c r="P136" s="57">
        <f t="shared" si="28"/>
        <v>34762.699999999903</v>
      </c>
      <c r="Q136" s="57">
        <f t="shared" si="29"/>
        <v>719157.67943330831</v>
      </c>
      <c r="R136" s="92">
        <f t="shared" si="38"/>
        <v>137835.54965168843</v>
      </c>
    </row>
    <row r="137" spans="1:18" x14ac:dyDescent="0.25">
      <c r="A137" s="62" t="s">
        <v>101</v>
      </c>
      <c r="B137" s="19" t="s">
        <v>53</v>
      </c>
      <c r="C137" s="82" t="s">
        <v>156</v>
      </c>
      <c r="D137" s="85">
        <f t="shared" si="30"/>
        <v>7543.74</v>
      </c>
      <c r="E137" s="88">
        <f t="shared" si="31"/>
        <v>44.96</v>
      </c>
      <c r="F137" s="88">
        <f t="shared" si="32"/>
        <v>265</v>
      </c>
      <c r="G137" s="89">
        <f t="shared" si="33"/>
        <v>102925.75</v>
      </c>
      <c r="H137" s="100">
        <f>0.95*213.3</f>
        <v>202.63499999999999</v>
      </c>
      <c r="I137" s="85">
        <f t="shared" si="34"/>
        <v>9.7047413793103452</v>
      </c>
      <c r="J137" s="101">
        <f t="shared" si="35"/>
        <v>20.88</v>
      </c>
      <c r="K137" s="36">
        <f t="shared" si="36"/>
        <v>19.88</v>
      </c>
      <c r="L137" s="126" t="str">
        <f t="shared" si="37"/>
        <v>Down</v>
      </c>
      <c r="M137" s="57">
        <f t="shared" si="25"/>
        <v>2944032.4138784483</v>
      </c>
      <c r="N137" s="57">
        <f t="shared" si="26"/>
        <v>1528625.7548999998</v>
      </c>
      <c r="O137" s="57">
        <f t="shared" si="27"/>
        <v>9110.4696000000004</v>
      </c>
      <c r="P137" s="57">
        <f t="shared" si="28"/>
        <v>53698.274999999994</v>
      </c>
      <c r="Q137" s="57">
        <f t="shared" si="29"/>
        <v>998867.78502155177</v>
      </c>
      <c r="R137" s="92">
        <f t="shared" si="38"/>
        <v>-102059.74978151126</v>
      </c>
    </row>
    <row r="138" spans="1:18" x14ac:dyDescent="0.25">
      <c r="A138" s="62" t="s">
        <v>101</v>
      </c>
      <c r="B138" s="19" t="s">
        <v>53</v>
      </c>
      <c r="C138" s="82" t="s">
        <v>157</v>
      </c>
      <c r="D138" s="85">
        <f t="shared" si="30"/>
        <v>7517.86</v>
      </c>
      <c r="E138" s="88">
        <f t="shared" si="31"/>
        <v>44.94</v>
      </c>
      <c r="F138" s="88">
        <f t="shared" si="32"/>
        <v>265</v>
      </c>
      <c r="G138" s="89">
        <f t="shared" si="33"/>
        <v>80747.67</v>
      </c>
      <c r="H138" s="100">
        <f>0.95*464.15</f>
        <v>440.94249999999994</v>
      </c>
      <c r="I138" s="85">
        <f t="shared" si="34"/>
        <v>24.483203775680174</v>
      </c>
      <c r="J138" s="101">
        <f t="shared" si="35"/>
        <v>18.010000000000002</v>
      </c>
      <c r="K138" s="36">
        <f t="shared" si="36"/>
        <v>17.010000000000002</v>
      </c>
      <c r="L138" s="126" t="str">
        <f t="shared" si="37"/>
        <v>Down</v>
      </c>
      <c r="M138" s="57">
        <f t="shared" si="25"/>
        <v>6589210.6507786214</v>
      </c>
      <c r="N138" s="57">
        <f t="shared" si="26"/>
        <v>3314943.9830499995</v>
      </c>
      <c r="O138" s="57">
        <f t="shared" si="27"/>
        <v>19815.955949999996</v>
      </c>
      <c r="P138" s="57">
        <f t="shared" si="28"/>
        <v>116849.76249999998</v>
      </c>
      <c r="Q138" s="57">
        <f t="shared" si="29"/>
        <v>1976961.6590213766</v>
      </c>
      <c r="R138" s="92">
        <f t="shared" si="38"/>
        <v>-224460.03895330057</v>
      </c>
    </row>
    <row r="139" spans="1:18" x14ac:dyDescent="0.25">
      <c r="A139" s="62" t="s">
        <v>101</v>
      </c>
      <c r="B139" s="19" t="s">
        <v>53</v>
      </c>
      <c r="C139" s="82" t="s">
        <v>158</v>
      </c>
      <c r="D139" s="85">
        <f t="shared" si="30"/>
        <v>7459.2</v>
      </c>
      <c r="E139" s="88">
        <f t="shared" si="31"/>
        <v>45</v>
      </c>
      <c r="F139" s="88">
        <f t="shared" si="32"/>
        <v>265</v>
      </c>
      <c r="G139" s="89">
        <f t="shared" si="33"/>
        <v>105107.47</v>
      </c>
      <c r="H139" s="100">
        <f>0.95*178.755555555556</f>
        <v>169.81777777777819</v>
      </c>
      <c r="I139" s="85">
        <f t="shared" si="34"/>
        <v>13.828809265291385</v>
      </c>
      <c r="J139" s="101">
        <f t="shared" si="35"/>
        <v>12.28</v>
      </c>
      <c r="K139" s="36">
        <f t="shared" si="36"/>
        <v>11.28</v>
      </c>
      <c r="L139" s="126" t="str">
        <f t="shared" si="37"/>
        <v>Down</v>
      </c>
      <c r="M139" s="57">
        <f t="shared" ref="M139:M150" si="39">(D139+E139*F139-G139/J139)*H139</f>
        <v>1838270.6130126719</v>
      </c>
      <c r="N139" s="57">
        <f t="shared" si="26"/>
        <v>1266704.768000003</v>
      </c>
      <c r="O139" s="57">
        <f t="shared" si="27"/>
        <v>7641.8000000000184</v>
      </c>
      <c r="P139" s="57">
        <f t="shared" si="28"/>
        <v>45001.711111111217</v>
      </c>
      <c r="Q139" s="57">
        <f t="shared" si="29"/>
        <v>1453511.1549873364</v>
      </c>
      <c r="R139" s="92">
        <f t="shared" si="38"/>
        <v>38843.515445296187</v>
      </c>
    </row>
    <row r="140" spans="1:18" x14ac:dyDescent="0.25">
      <c r="A140" s="62" t="s">
        <v>101</v>
      </c>
      <c r="B140" s="20" t="s">
        <v>51</v>
      </c>
      <c r="C140" s="83" t="s">
        <v>159</v>
      </c>
      <c r="D140" s="85">
        <f t="shared" si="30"/>
        <v>8491.1200000000008</v>
      </c>
      <c r="E140" s="88">
        <f t="shared" si="31"/>
        <v>43.65</v>
      </c>
      <c r="F140" s="88">
        <f t="shared" si="32"/>
        <v>265</v>
      </c>
      <c r="G140" s="89">
        <f t="shared" si="33"/>
        <v>67459.91</v>
      </c>
      <c r="H140" s="100">
        <f>1.05*359.538222222223</f>
        <v>377.51513333333418</v>
      </c>
      <c r="I140" s="85">
        <f t="shared" si="34"/>
        <v>39.039827645639519</v>
      </c>
      <c r="J140" s="101">
        <f t="shared" si="35"/>
        <v>9.67</v>
      </c>
      <c r="K140" s="36">
        <f t="shared" si="36"/>
        <v>8.67</v>
      </c>
      <c r="L140" s="126" t="str">
        <f t="shared" si="37"/>
        <v>Up</v>
      </c>
      <c r="M140" s="57">
        <f t="shared" si="39"/>
        <v>4938714.9656089963</v>
      </c>
      <c r="N140" s="57">
        <f t="shared" si="26"/>
        <v>3205526.2989493408</v>
      </c>
      <c r="O140" s="57">
        <f t="shared" si="27"/>
        <v>16478.535570000036</v>
      </c>
      <c r="P140" s="57">
        <f t="shared" si="28"/>
        <v>100041.51033333356</v>
      </c>
      <c r="Q140" s="57">
        <f t="shared" si="29"/>
        <v>2633623.2593903542</v>
      </c>
      <c r="R140" s="92">
        <f t="shared" si="38"/>
        <v>524452.95737762284</v>
      </c>
    </row>
    <row r="141" spans="1:18" x14ac:dyDescent="0.25">
      <c r="A141" s="62" t="s">
        <v>101</v>
      </c>
      <c r="B141" s="20" t="s">
        <v>51</v>
      </c>
      <c r="C141" s="83" t="s">
        <v>160</v>
      </c>
      <c r="D141" s="85">
        <f t="shared" si="30"/>
        <v>8221.2000000000007</v>
      </c>
      <c r="E141" s="88">
        <f t="shared" si="31"/>
        <v>45</v>
      </c>
      <c r="F141" s="88">
        <f t="shared" si="32"/>
        <v>265</v>
      </c>
      <c r="G141" s="89">
        <f t="shared" si="33"/>
        <v>77803.28</v>
      </c>
      <c r="H141" s="100">
        <f>0.95*181</f>
        <v>171.95</v>
      </c>
      <c r="I141" s="85">
        <f t="shared" si="34"/>
        <v>10.085043988269794</v>
      </c>
      <c r="J141" s="101">
        <f t="shared" si="35"/>
        <v>17.05</v>
      </c>
      <c r="K141" s="36">
        <f t="shared" si="36"/>
        <v>16.05</v>
      </c>
      <c r="L141" s="126" t="str">
        <f t="shared" si="37"/>
        <v>Down</v>
      </c>
      <c r="M141" s="57">
        <f t="shared" si="39"/>
        <v>2679489.5887683281</v>
      </c>
      <c r="N141" s="57">
        <f t="shared" si="26"/>
        <v>1413635.34</v>
      </c>
      <c r="O141" s="57">
        <f t="shared" si="27"/>
        <v>7737.7499999999991</v>
      </c>
      <c r="P141" s="57">
        <f t="shared" si="28"/>
        <v>45566.75</v>
      </c>
      <c r="Q141" s="57">
        <f t="shared" si="29"/>
        <v>784649.50123167143</v>
      </c>
      <c r="R141" s="92">
        <f t="shared" si="38"/>
        <v>-89564.905312668998</v>
      </c>
    </row>
    <row r="142" spans="1:18" x14ac:dyDescent="0.25">
      <c r="A142" s="62" t="s">
        <v>101</v>
      </c>
      <c r="B142" s="20" t="s">
        <v>51</v>
      </c>
      <c r="C142" s="83" t="s">
        <v>161</v>
      </c>
      <c r="D142" s="85">
        <f t="shared" si="30"/>
        <v>7469.21</v>
      </c>
      <c r="E142" s="88">
        <f t="shared" si="31"/>
        <v>45</v>
      </c>
      <c r="F142" s="88">
        <f t="shared" si="32"/>
        <v>265</v>
      </c>
      <c r="G142" s="89">
        <f t="shared" si="33"/>
        <v>111874.85</v>
      </c>
      <c r="H142" s="100">
        <f>0.95*153.222222222222</f>
        <v>145.5611111111109</v>
      </c>
      <c r="I142" s="85">
        <f t="shared" si="34"/>
        <v>5.7082788671023881</v>
      </c>
      <c r="J142" s="101">
        <f t="shared" si="35"/>
        <v>25.5</v>
      </c>
      <c r="K142" s="36">
        <f t="shared" si="36"/>
        <v>24.5</v>
      </c>
      <c r="L142" s="126" t="str">
        <f t="shared" si="37"/>
        <v>Down</v>
      </c>
      <c r="M142" s="57">
        <f t="shared" si="39"/>
        <v>2184429.9147069682</v>
      </c>
      <c r="N142" s="57">
        <f t="shared" ref="N142:N150" si="40">D142*H142</f>
        <v>1087226.5067222207</v>
      </c>
      <c r="O142" s="57">
        <f t="shared" ref="O142:O150" si="41">E142*H142</f>
        <v>6550.2499999999909</v>
      </c>
      <c r="P142" s="57">
        <f t="shared" ref="P142:P150" si="42">F142*H142</f>
        <v>38573.694444444387</v>
      </c>
      <c r="Q142" s="57">
        <f t="shared" ref="Q142:Q150" si="43">G142*I142</f>
        <v>638612.84201524965</v>
      </c>
      <c r="R142" s="92">
        <f t="shared" si="38"/>
        <v>-87499.328554256354</v>
      </c>
    </row>
    <row r="143" spans="1:18" x14ac:dyDescent="0.25">
      <c r="A143" s="62" t="s">
        <v>101</v>
      </c>
      <c r="B143" s="20" t="s">
        <v>51</v>
      </c>
      <c r="C143" s="83" t="s">
        <v>162</v>
      </c>
      <c r="D143" s="85">
        <f t="shared" si="30"/>
        <v>7861.92</v>
      </c>
      <c r="E143" s="88">
        <f t="shared" si="31"/>
        <v>44.37</v>
      </c>
      <c r="F143" s="88">
        <f t="shared" si="32"/>
        <v>265</v>
      </c>
      <c r="G143" s="89">
        <f t="shared" si="33"/>
        <v>94044.89</v>
      </c>
      <c r="H143" s="100">
        <f>0.95*534.133333333333</f>
        <v>507.42666666666634</v>
      </c>
      <c r="I143" s="85">
        <f t="shared" si="34"/>
        <v>36.348615090735407</v>
      </c>
      <c r="J143" s="101">
        <f t="shared" si="35"/>
        <v>13.96</v>
      </c>
      <c r="K143" s="36">
        <f t="shared" si="36"/>
        <v>12.96</v>
      </c>
      <c r="L143" s="126" t="str">
        <f t="shared" si="37"/>
        <v>Down</v>
      </c>
      <c r="M143" s="57">
        <f t="shared" si="39"/>
        <v>6537294.4693394415</v>
      </c>
      <c r="N143" s="57">
        <f t="shared" si="40"/>
        <v>3989347.8591999975</v>
      </c>
      <c r="O143" s="57">
        <f t="shared" si="41"/>
        <v>22514.521199999985</v>
      </c>
      <c r="P143" s="57">
        <f t="shared" si="42"/>
        <v>134468.06666666659</v>
      </c>
      <c r="Q143" s="57">
        <f t="shared" si="43"/>
        <v>3418401.5078605516</v>
      </c>
      <c r="R143" s="92">
        <f t="shared" si="38"/>
        <v>-66378.972833090462</v>
      </c>
    </row>
    <row r="144" spans="1:18" x14ac:dyDescent="0.25">
      <c r="A144" s="62" t="s">
        <v>101</v>
      </c>
      <c r="B144" s="20" t="s">
        <v>51</v>
      </c>
      <c r="C144" s="83" t="s">
        <v>163</v>
      </c>
      <c r="D144" s="85">
        <f t="shared" si="30"/>
        <v>9365.83</v>
      </c>
      <c r="E144" s="88">
        <f t="shared" si="31"/>
        <v>42.54</v>
      </c>
      <c r="F144" s="88">
        <f t="shared" si="32"/>
        <v>265</v>
      </c>
      <c r="G144" s="89">
        <f t="shared" si="33"/>
        <v>76088.95</v>
      </c>
      <c r="H144" s="100">
        <f>0.95*398.394444444445</f>
        <v>378.47472222222274</v>
      </c>
      <c r="I144" s="85">
        <f t="shared" si="34"/>
        <v>25.729076969559667</v>
      </c>
      <c r="J144" s="101">
        <f t="shared" si="35"/>
        <v>14.71</v>
      </c>
      <c r="K144" s="36">
        <f t="shared" si="36"/>
        <v>13.71</v>
      </c>
      <c r="L144" s="126" t="str">
        <f t="shared" si="37"/>
        <v>Down</v>
      </c>
      <c r="M144" s="57">
        <f t="shared" si="39"/>
        <v>5853614.8476309227</v>
      </c>
      <c r="N144" s="57">
        <f t="shared" si="40"/>
        <v>3544729.9076305605</v>
      </c>
      <c r="O144" s="57">
        <f t="shared" si="41"/>
        <v>16100.314683333356</v>
      </c>
      <c r="P144" s="57">
        <f t="shared" si="42"/>
        <v>100295.80138888903</v>
      </c>
      <c r="Q144" s="57">
        <f t="shared" si="43"/>
        <v>1957698.451082977</v>
      </c>
      <c r="R144" s="92">
        <f t="shared" si="38"/>
        <v>-157709.01551400777</v>
      </c>
    </row>
    <row r="145" spans="1:18" x14ac:dyDescent="0.25">
      <c r="A145" s="62" t="s">
        <v>101</v>
      </c>
      <c r="B145" s="20" t="s">
        <v>51</v>
      </c>
      <c r="C145" s="83" t="s">
        <v>164</v>
      </c>
      <c r="D145" s="85">
        <f t="shared" si="30"/>
        <v>8511.01</v>
      </c>
      <c r="E145" s="88">
        <f t="shared" si="31"/>
        <v>43.22</v>
      </c>
      <c r="F145" s="88">
        <f t="shared" si="32"/>
        <v>265</v>
      </c>
      <c r="G145" s="89">
        <f t="shared" si="33"/>
        <v>104871.35</v>
      </c>
      <c r="H145" s="100">
        <f>0.95*171.211111111111</f>
        <v>162.65055555555543</v>
      </c>
      <c r="I145" s="85">
        <f t="shared" si="34"/>
        <v>11.907068488693662</v>
      </c>
      <c r="J145" s="101">
        <f t="shared" si="35"/>
        <v>13.66</v>
      </c>
      <c r="K145" s="36">
        <f t="shared" si="36"/>
        <v>12.66</v>
      </c>
      <c r="L145" s="126" t="str">
        <f t="shared" si="37"/>
        <v>Down</v>
      </c>
      <c r="M145" s="57">
        <f t="shared" si="39"/>
        <v>1998495.7658315662</v>
      </c>
      <c r="N145" s="57">
        <f t="shared" si="40"/>
        <v>1384320.5048388878</v>
      </c>
      <c r="O145" s="57">
        <f t="shared" si="41"/>
        <v>7029.7570111111054</v>
      </c>
      <c r="P145" s="57">
        <f t="shared" si="42"/>
        <v>43102.397222222186</v>
      </c>
      <c r="Q145" s="57">
        <f t="shared" si="43"/>
        <v>1248710.3469517641</v>
      </c>
      <c r="R145" s="92">
        <f t="shared" si="38"/>
        <v>-1345.4211878646165</v>
      </c>
    </row>
    <row r="146" spans="1:18" x14ac:dyDescent="0.25">
      <c r="A146" s="62" t="s">
        <v>101</v>
      </c>
      <c r="B146" s="20" t="s">
        <v>51</v>
      </c>
      <c r="C146" s="83" t="s">
        <v>131</v>
      </c>
      <c r="D146" s="85">
        <f t="shared" si="30"/>
        <v>7573.46</v>
      </c>
      <c r="E146" s="88">
        <f t="shared" si="31"/>
        <v>45</v>
      </c>
      <c r="F146" s="88">
        <f t="shared" si="32"/>
        <v>265</v>
      </c>
      <c r="G146" s="89">
        <f t="shared" si="33"/>
        <v>83045.8</v>
      </c>
      <c r="H146" s="100">
        <f>0.95*93.9555555555556</f>
        <v>89.257777777777818</v>
      </c>
      <c r="I146" s="85">
        <f t="shared" si="34"/>
        <v>3.8790863875609651</v>
      </c>
      <c r="J146" s="101">
        <f t="shared" si="35"/>
        <v>23.01</v>
      </c>
      <c r="K146" s="36">
        <f t="shared" si="36"/>
        <v>22.01</v>
      </c>
      <c r="L146" s="126" t="str">
        <f t="shared" si="37"/>
        <v>Down</v>
      </c>
      <c r="M146" s="57">
        <f t="shared" si="39"/>
        <v>1418247.3773647791</v>
      </c>
      <c r="N146" s="57">
        <f t="shared" si="40"/>
        <v>675990.20968888921</v>
      </c>
      <c r="O146" s="57">
        <f t="shared" si="41"/>
        <v>4016.6000000000017</v>
      </c>
      <c r="P146" s="57">
        <f t="shared" si="42"/>
        <v>23653.311111111121</v>
      </c>
      <c r="Q146" s="57">
        <f t="shared" si="43"/>
        <v>322141.83232411044</v>
      </c>
      <c r="R146" s="92">
        <f t="shared" si="38"/>
        <v>-59308.007470113924</v>
      </c>
    </row>
    <row r="147" spans="1:18" x14ac:dyDescent="0.25">
      <c r="A147" s="62" t="s">
        <v>101</v>
      </c>
      <c r="B147" s="20" t="s">
        <v>51</v>
      </c>
      <c r="C147" s="83" t="s">
        <v>132</v>
      </c>
      <c r="D147" s="85">
        <f t="shared" si="30"/>
        <v>7459.2</v>
      </c>
      <c r="E147" s="88">
        <f t="shared" si="31"/>
        <v>45</v>
      </c>
      <c r="F147" s="88">
        <f t="shared" si="32"/>
        <v>265</v>
      </c>
      <c r="G147" s="89">
        <f t="shared" si="33"/>
        <v>103324.5</v>
      </c>
      <c r="H147" s="100">
        <f>1.05*22</f>
        <v>23.1</v>
      </c>
      <c r="I147" s="85">
        <f t="shared" si="34"/>
        <v>2.1</v>
      </c>
      <c r="J147" s="101">
        <f t="shared" si="35"/>
        <v>11</v>
      </c>
      <c r="K147" s="36">
        <f t="shared" si="36"/>
        <v>10</v>
      </c>
      <c r="L147" s="126" t="str">
        <f t="shared" si="37"/>
        <v>Up</v>
      </c>
      <c r="M147" s="57">
        <f t="shared" si="39"/>
        <v>230793.57000000004</v>
      </c>
      <c r="N147" s="57">
        <f t="shared" si="40"/>
        <v>172307.52000000002</v>
      </c>
      <c r="O147" s="57">
        <f t="shared" si="41"/>
        <v>1039.5</v>
      </c>
      <c r="P147" s="57">
        <f t="shared" si="42"/>
        <v>6121.5</v>
      </c>
      <c r="Q147" s="57">
        <f t="shared" si="43"/>
        <v>216981.45</v>
      </c>
      <c r="R147" s="92">
        <f t="shared" si="38"/>
        <v>31655.070000000036</v>
      </c>
    </row>
    <row r="148" spans="1:18" x14ac:dyDescent="0.25">
      <c r="A148" s="62" t="s">
        <v>101</v>
      </c>
      <c r="B148" s="20" t="s">
        <v>51</v>
      </c>
      <c r="C148" s="83" t="s">
        <v>165</v>
      </c>
      <c r="D148" s="85">
        <f t="shared" si="30"/>
        <v>7459.2</v>
      </c>
      <c r="E148" s="88">
        <f t="shared" si="31"/>
        <v>45</v>
      </c>
      <c r="F148" s="88">
        <f t="shared" si="32"/>
        <v>265</v>
      </c>
      <c r="G148" s="89">
        <f t="shared" si="33"/>
        <v>33070.75</v>
      </c>
      <c r="H148" s="100">
        <f>0.95*8</f>
        <v>7.6</v>
      </c>
      <c r="I148" s="85">
        <f t="shared" si="34"/>
        <v>1.3194444444444444</v>
      </c>
      <c r="J148" s="101">
        <f t="shared" si="35"/>
        <v>5.76</v>
      </c>
      <c r="K148" s="36">
        <f t="shared" si="36"/>
        <v>4.76</v>
      </c>
      <c r="L148" s="126" t="str">
        <f t="shared" si="37"/>
        <v>Down</v>
      </c>
      <c r="M148" s="57">
        <f t="shared" si="39"/>
        <v>103684.90263888889</v>
      </c>
      <c r="N148" s="57">
        <f t="shared" si="40"/>
        <v>56689.919999999998</v>
      </c>
      <c r="O148" s="57">
        <f t="shared" si="41"/>
        <v>342</v>
      </c>
      <c r="P148" s="57">
        <f t="shared" si="42"/>
        <v>2014</v>
      </c>
      <c r="Q148" s="57">
        <f t="shared" si="43"/>
        <v>43635.017361111109</v>
      </c>
      <c r="R148" s="92">
        <f t="shared" si="38"/>
        <v>4192.3950758636784</v>
      </c>
    </row>
    <row r="149" spans="1:18" x14ac:dyDescent="0.25">
      <c r="A149" s="62" t="s">
        <v>101</v>
      </c>
      <c r="B149" s="20" t="s">
        <v>51</v>
      </c>
      <c r="C149" s="83" t="s">
        <v>133</v>
      </c>
      <c r="D149" s="85">
        <f t="shared" si="30"/>
        <v>7560.24</v>
      </c>
      <c r="E149" s="88">
        <f t="shared" si="31"/>
        <v>45</v>
      </c>
      <c r="F149" s="88">
        <f t="shared" si="32"/>
        <v>265</v>
      </c>
      <c r="G149" s="89">
        <f t="shared" si="33"/>
        <v>67572.539999999994</v>
      </c>
      <c r="H149" s="100">
        <f>1.05*30.3555555555556</f>
        <v>31.873333333333381</v>
      </c>
      <c r="I149" s="85">
        <f t="shared" si="34"/>
        <v>2.3662459787181427</v>
      </c>
      <c r="J149" s="101">
        <f t="shared" si="35"/>
        <v>13.47</v>
      </c>
      <c r="K149" s="36">
        <f t="shared" si="36"/>
        <v>12.47</v>
      </c>
      <c r="L149" s="126" t="str">
        <f t="shared" si="37"/>
        <v>Up</v>
      </c>
      <c r="M149" s="57">
        <f t="shared" si="39"/>
        <v>461166.29855323007</v>
      </c>
      <c r="N149" s="57">
        <f t="shared" si="40"/>
        <v>240970.04960000035</v>
      </c>
      <c r="O149" s="57">
        <f t="shared" si="41"/>
        <v>1434.3000000000022</v>
      </c>
      <c r="P149" s="57">
        <f t="shared" si="42"/>
        <v>8446.4333333333452</v>
      </c>
      <c r="Q149" s="57">
        <f t="shared" si="43"/>
        <v>159893.25104677083</v>
      </c>
      <c r="R149" s="92">
        <f t="shared" si="38"/>
        <v>34109.43335611705</v>
      </c>
    </row>
    <row r="150" spans="1:18" x14ac:dyDescent="0.25">
      <c r="A150" s="62" t="s">
        <v>101</v>
      </c>
      <c r="B150" s="20" t="s">
        <v>51</v>
      </c>
      <c r="C150" s="83" t="s">
        <v>166</v>
      </c>
      <c r="D150" s="85">
        <f t="shared" si="30"/>
        <v>7469.07</v>
      </c>
      <c r="E150" s="88">
        <f t="shared" si="31"/>
        <v>45</v>
      </c>
      <c r="F150" s="88">
        <f t="shared" si="32"/>
        <v>265</v>
      </c>
      <c r="G150" s="89">
        <f t="shared" si="33"/>
        <v>90702.36</v>
      </c>
      <c r="H150" s="100">
        <f>0.95*155.333333333333</f>
        <v>147.56666666666635</v>
      </c>
      <c r="I150" s="85">
        <f t="shared" si="34"/>
        <v>8.6044703595723835</v>
      </c>
      <c r="J150" s="101">
        <f t="shared" si="35"/>
        <v>17.149999999999999</v>
      </c>
      <c r="K150" s="36">
        <f t="shared" si="36"/>
        <v>16.149999999999999</v>
      </c>
      <c r="L150" s="126" t="str">
        <f t="shared" si="37"/>
        <v>Down</v>
      </c>
      <c r="M150" s="57">
        <f t="shared" si="39"/>
        <v>2081472.49483673</v>
      </c>
      <c r="N150" s="57">
        <f t="shared" si="40"/>
        <v>1102185.7629999977</v>
      </c>
      <c r="O150" s="57">
        <f t="shared" si="41"/>
        <v>6640.4999999999854</v>
      </c>
      <c r="P150" s="57">
        <f t="shared" si="42"/>
        <v>39105.166666666584</v>
      </c>
      <c r="Q150" s="57">
        <f t="shared" si="43"/>
        <v>780445.7681632638</v>
      </c>
      <c r="R150" s="92">
        <f t="shared" si="38"/>
        <v>-58637.031154911034</v>
      </c>
    </row>
    <row r="152" spans="1:18" hidden="1" x14ac:dyDescent="0.25">
      <c r="A152" s="22" t="s">
        <v>65</v>
      </c>
      <c r="D152" s="75">
        <f t="shared" ref="D152:J152" si="44">SUM(D158:D188)+$L$2*D43+$L$3*D46+$L$4*D49+$L$5*D52+$L$6*D55</f>
        <v>8051.3477717627056</v>
      </c>
      <c r="E152" s="75">
        <f t="shared" si="44"/>
        <v>43.941488619563188</v>
      </c>
      <c r="F152" s="75">
        <f t="shared" si="44"/>
        <v>264.99999999999994</v>
      </c>
      <c r="G152" s="75">
        <f>A6*(   SUM(G158:G188)+$L$2*G43+$L$3*G46+$L$4*G49+$L$5*G52+$L$6*G55   )</f>
        <v>85510.162600845695</v>
      </c>
      <c r="H152" s="75">
        <f t="shared" si="44"/>
        <v>2259.1400000000003</v>
      </c>
      <c r="I152" s="75">
        <f t="shared" si="44"/>
        <v>148.99</v>
      </c>
      <c r="J152" s="75">
        <f t="shared" si="44"/>
        <v>15.163031075911137</v>
      </c>
    </row>
    <row r="153" spans="1:18" hidden="1" x14ac:dyDescent="0.25">
      <c r="A153" s="22" t="s">
        <v>97</v>
      </c>
      <c r="D153" s="75">
        <f t="shared" ref="D153:J153" si="45">SUM(D189:D219)+$L$2*D44+$L$3*D47+$L$4*D50+$L$5*D53+$L$6*D56</f>
        <v>8256.7627388308338</v>
      </c>
      <c r="E153" s="75">
        <f t="shared" si="45"/>
        <v>44.000221105384554</v>
      </c>
      <c r="F153" s="75">
        <f t="shared" si="45"/>
        <v>265.00000000000006</v>
      </c>
      <c r="G153" s="75">
        <f>A6*(   SUM(G189:G219)+$L$2*G44+$L$3*G47+$L$4*G50+$L$5*G53+$L$6*G56   )</f>
        <v>83155.769982209677</v>
      </c>
      <c r="H153" s="75">
        <f t="shared" si="45"/>
        <v>2107.14</v>
      </c>
      <c r="I153" s="75">
        <f t="shared" si="45"/>
        <v>163.01000000000002</v>
      </c>
      <c r="J153" s="75">
        <f t="shared" si="45"/>
        <v>12.926446230292617</v>
      </c>
    </row>
    <row r="154" spans="1:18" hidden="1" x14ac:dyDescent="0.25">
      <c r="A154" s="22" t="s">
        <v>101</v>
      </c>
      <c r="D154" s="75">
        <f t="shared" ref="D154:J154" si="46">SUM(D220:D250)+$L$2*D45+$L$3*D48+$L$4*D51+$L$5*D54+$L$6*D57</f>
        <v>8258.9957762253434</v>
      </c>
      <c r="E154" s="75">
        <f t="shared" si="46"/>
        <v>43.996615687603921</v>
      </c>
      <c r="F154" s="75">
        <f t="shared" si="46"/>
        <v>265.00000000000006</v>
      </c>
      <c r="G154" s="75">
        <f>A6*(   SUM(G220:G250)+$L$2*G45+$L$3*G48+$L$4*G51+$L$5*G54+$L$6*G57   )</f>
        <v>82976.606354365591</v>
      </c>
      <c r="H154" s="75">
        <f t="shared" si="46"/>
        <v>2042.9759666666671</v>
      </c>
      <c r="I154" s="75">
        <f t="shared" si="46"/>
        <v>147.10075464640656</v>
      </c>
      <c r="J154" s="75">
        <f t="shared" si="46"/>
        <v>13.888276586870481</v>
      </c>
    </row>
    <row r="155" spans="1:18" hidden="1" x14ac:dyDescent="0.25"/>
    <row r="156" spans="1:18" hidden="1" x14ac:dyDescent="0.25"/>
    <row r="157" spans="1:18" hidden="1" x14ac:dyDescent="0.25">
      <c r="A157" s="22" t="s">
        <v>98</v>
      </c>
      <c r="B157" s="22" t="s">
        <v>99</v>
      </c>
      <c r="C157" s="84" t="s">
        <v>100</v>
      </c>
      <c r="D157" s="22" t="s">
        <v>12</v>
      </c>
      <c r="E157" s="22" t="s">
        <v>34</v>
      </c>
      <c r="F157" s="22" t="s">
        <v>13</v>
      </c>
      <c r="G157" s="22" t="s">
        <v>14</v>
      </c>
      <c r="H157" s="22" t="s">
        <v>0</v>
      </c>
      <c r="I157" s="27" t="s">
        <v>1</v>
      </c>
      <c r="J157" s="27" t="s">
        <v>6</v>
      </c>
    </row>
    <row r="158" spans="1:18" hidden="1" x14ac:dyDescent="0.25">
      <c r="A158" s="22" t="s">
        <v>65</v>
      </c>
      <c r="B158" s="22" t="s">
        <v>50</v>
      </c>
      <c r="C158" s="84" t="s">
        <v>66</v>
      </c>
      <c r="D158" s="75">
        <f t="shared" ref="D158:J158" si="47">$L$7*D58</f>
        <v>0</v>
      </c>
      <c r="E158" s="75">
        <f t="shared" si="47"/>
        <v>0</v>
      </c>
      <c r="F158" s="75">
        <f t="shared" si="47"/>
        <v>0</v>
      </c>
      <c r="G158" s="75">
        <f t="shared" si="47"/>
        <v>0</v>
      </c>
      <c r="H158" s="75">
        <f t="shared" si="47"/>
        <v>0</v>
      </c>
      <c r="I158" s="75">
        <f t="shared" si="47"/>
        <v>0</v>
      </c>
      <c r="J158" s="75">
        <f t="shared" si="47"/>
        <v>0</v>
      </c>
    </row>
    <row r="159" spans="1:18" hidden="1" x14ac:dyDescent="0.25">
      <c r="A159" s="22" t="s">
        <v>65</v>
      </c>
      <c r="B159" s="22" t="s">
        <v>50</v>
      </c>
      <c r="C159" s="84" t="s">
        <v>67</v>
      </c>
      <c r="D159" s="75">
        <f t="shared" ref="D159:J159" si="48">$L$8*D59</f>
        <v>0</v>
      </c>
      <c r="E159" s="75">
        <f t="shared" si="48"/>
        <v>0</v>
      </c>
      <c r="F159" s="75">
        <f t="shared" si="48"/>
        <v>0</v>
      </c>
      <c r="G159" s="75">
        <f t="shared" si="48"/>
        <v>0</v>
      </c>
      <c r="H159" s="75">
        <f t="shared" si="48"/>
        <v>0</v>
      </c>
      <c r="I159" s="75">
        <f t="shared" si="48"/>
        <v>0</v>
      </c>
      <c r="J159" s="75">
        <f t="shared" si="48"/>
        <v>0</v>
      </c>
    </row>
    <row r="160" spans="1:18" hidden="1" x14ac:dyDescent="0.25">
      <c r="A160" s="22" t="s">
        <v>65</v>
      </c>
      <c r="B160" s="22" t="s">
        <v>50</v>
      </c>
      <c r="C160" s="84" t="s">
        <v>68</v>
      </c>
      <c r="D160" s="75">
        <f t="shared" ref="D160:J160" si="49">$L$9*D60</f>
        <v>0</v>
      </c>
      <c r="E160" s="75">
        <f t="shared" si="49"/>
        <v>0</v>
      </c>
      <c r="F160" s="75">
        <f t="shared" si="49"/>
        <v>0</v>
      </c>
      <c r="G160" s="75">
        <f t="shared" si="49"/>
        <v>0</v>
      </c>
      <c r="H160" s="75">
        <f t="shared" si="49"/>
        <v>0</v>
      </c>
      <c r="I160" s="75">
        <f t="shared" si="49"/>
        <v>0</v>
      </c>
      <c r="J160" s="75">
        <f t="shared" si="49"/>
        <v>0</v>
      </c>
    </row>
    <row r="161" spans="1:10" hidden="1" x14ac:dyDescent="0.25">
      <c r="A161" s="22" t="s">
        <v>65</v>
      </c>
      <c r="B161" s="22" t="s">
        <v>50</v>
      </c>
      <c r="C161" s="84" t="s">
        <v>69</v>
      </c>
      <c r="D161" s="75">
        <f t="shared" ref="D161:J161" si="50">$L$10*D61</f>
        <v>0</v>
      </c>
      <c r="E161" s="75">
        <f t="shared" si="50"/>
        <v>0</v>
      </c>
      <c r="F161" s="75">
        <f t="shared" si="50"/>
        <v>0</v>
      </c>
      <c r="G161" s="75">
        <f t="shared" si="50"/>
        <v>0</v>
      </c>
      <c r="H161" s="75">
        <f t="shared" si="50"/>
        <v>0</v>
      </c>
      <c r="I161" s="75">
        <f t="shared" si="50"/>
        <v>0</v>
      </c>
      <c r="J161" s="75">
        <f t="shared" si="50"/>
        <v>0</v>
      </c>
    </row>
    <row r="162" spans="1:10" hidden="1" x14ac:dyDescent="0.25">
      <c r="A162" s="22" t="s">
        <v>65</v>
      </c>
      <c r="B162" s="22" t="s">
        <v>50</v>
      </c>
      <c r="C162" s="84" t="s">
        <v>70</v>
      </c>
      <c r="D162" s="75">
        <f t="shared" ref="D162:J162" si="51">$L$11*D62</f>
        <v>0</v>
      </c>
      <c r="E162" s="75">
        <f t="shared" si="51"/>
        <v>0</v>
      </c>
      <c r="F162" s="75">
        <f t="shared" si="51"/>
        <v>0</v>
      </c>
      <c r="G162" s="75">
        <f t="shared" si="51"/>
        <v>0</v>
      </c>
      <c r="H162" s="75">
        <f t="shared" si="51"/>
        <v>0</v>
      </c>
      <c r="I162" s="75">
        <f t="shared" si="51"/>
        <v>0</v>
      </c>
      <c r="J162" s="75">
        <f t="shared" si="51"/>
        <v>0</v>
      </c>
    </row>
    <row r="163" spans="1:10" hidden="1" x14ac:dyDescent="0.25">
      <c r="A163" s="22" t="s">
        <v>65</v>
      </c>
      <c r="B163" s="22" t="s">
        <v>50</v>
      </c>
      <c r="C163" s="84" t="s">
        <v>71</v>
      </c>
      <c r="D163" s="75">
        <f t="shared" ref="D163:J163" si="52">$L$12*D63</f>
        <v>0</v>
      </c>
      <c r="E163" s="75">
        <f t="shared" si="52"/>
        <v>0</v>
      </c>
      <c r="F163" s="75">
        <f t="shared" si="52"/>
        <v>0</v>
      </c>
      <c r="G163" s="75">
        <f t="shared" si="52"/>
        <v>0</v>
      </c>
      <c r="H163" s="75">
        <f t="shared" si="52"/>
        <v>0</v>
      </c>
      <c r="I163" s="75">
        <f t="shared" si="52"/>
        <v>0</v>
      </c>
      <c r="J163" s="75">
        <f t="shared" si="52"/>
        <v>0</v>
      </c>
    </row>
    <row r="164" spans="1:10" hidden="1" x14ac:dyDescent="0.25">
      <c r="A164" s="22" t="s">
        <v>65</v>
      </c>
      <c r="B164" s="22" t="s">
        <v>50</v>
      </c>
      <c r="C164" s="84" t="s">
        <v>72</v>
      </c>
      <c r="D164" s="75">
        <f t="shared" ref="D164:J164" si="53">$L$13*D64</f>
        <v>0</v>
      </c>
      <c r="E164" s="75">
        <f t="shared" si="53"/>
        <v>0</v>
      </c>
      <c r="F164" s="75">
        <f t="shared" si="53"/>
        <v>0</v>
      </c>
      <c r="G164" s="75">
        <f t="shared" si="53"/>
        <v>0</v>
      </c>
      <c r="H164" s="75">
        <f t="shared" si="53"/>
        <v>0</v>
      </c>
      <c r="I164" s="75">
        <f t="shared" si="53"/>
        <v>0</v>
      </c>
      <c r="J164" s="75">
        <f t="shared" si="53"/>
        <v>0</v>
      </c>
    </row>
    <row r="165" spans="1:10" hidden="1" x14ac:dyDescent="0.25">
      <c r="A165" s="22" t="s">
        <v>65</v>
      </c>
      <c r="B165" s="22" t="s">
        <v>52</v>
      </c>
      <c r="C165" s="84" t="s">
        <v>73</v>
      </c>
      <c r="D165" s="75">
        <f t="shared" ref="D165:J165" si="54">$L$14*D65</f>
        <v>0</v>
      </c>
      <c r="E165" s="75">
        <f t="shared" si="54"/>
        <v>0</v>
      </c>
      <c r="F165" s="75">
        <f t="shared" si="54"/>
        <v>0</v>
      </c>
      <c r="G165" s="75">
        <f t="shared" si="54"/>
        <v>0</v>
      </c>
      <c r="H165" s="75">
        <f t="shared" si="54"/>
        <v>0</v>
      </c>
      <c r="I165" s="75">
        <f t="shared" si="54"/>
        <v>0</v>
      </c>
      <c r="J165" s="75">
        <f t="shared" si="54"/>
        <v>0</v>
      </c>
    </row>
    <row r="166" spans="1:10" hidden="1" x14ac:dyDescent="0.25">
      <c r="A166" s="22" t="s">
        <v>65</v>
      </c>
      <c r="B166" s="22" t="s">
        <v>52</v>
      </c>
      <c r="C166" s="84" t="s">
        <v>74</v>
      </c>
      <c r="D166" s="75">
        <f t="shared" ref="D166:J166" si="55">$L$15*D66</f>
        <v>0</v>
      </c>
      <c r="E166" s="75">
        <f t="shared" si="55"/>
        <v>0</v>
      </c>
      <c r="F166" s="75">
        <f t="shared" si="55"/>
        <v>0</v>
      </c>
      <c r="G166" s="75">
        <f t="shared" si="55"/>
        <v>0</v>
      </c>
      <c r="H166" s="75">
        <f t="shared" si="55"/>
        <v>0</v>
      </c>
      <c r="I166" s="75">
        <f t="shared" si="55"/>
        <v>0</v>
      </c>
      <c r="J166" s="75">
        <f t="shared" si="55"/>
        <v>0</v>
      </c>
    </row>
    <row r="167" spans="1:10" hidden="1" x14ac:dyDescent="0.25">
      <c r="A167" s="22" t="s">
        <v>65</v>
      </c>
      <c r="B167" s="22" t="s">
        <v>52</v>
      </c>
      <c r="C167" s="84" t="s">
        <v>75</v>
      </c>
      <c r="D167" s="75">
        <f t="shared" ref="D167:J167" si="56">$L$16*D67</f>
        <v>0</v>
      </c>
      <c r="E167" s="75">
        <f t="shared" si="56"/>
        <v>0</v>
      </c>
      <c r="F167" s="75">
        <f t="shared" si="56"/>
        <v>0</v>
      </c>
      <c r="G167" s="75">
        <f t="shared" si="56"/>
        <v>0</v>
      </c>
      <c r="H167" s="75">
        <f t="shared" si="56"/>
        <v>0</v>
      </c>
      <c r="I167" s="75">
        <f t="shared" si="56"/>
        <v>0</v>
      </c>
      <c r="J167" s="75">
        <f t="shared" si="56"/>
        <v>0</v>
      </c>
    </row>
    <row r="168" spans="1:10" hidden="1" x14ac:dyDescent="0.25">
      <c r="A168" s="22" t="s">
        <v>65</v>
      </c>
      <c r="B168" s="22" t="s">
        <v>52</v>
      </c>
      <c r="C168" s="84" t="s">
        <v>76</v>
      </c>
      <c r="D168" s="75">
        <f t="shared" ref="D168:J168" si="57">$L$17*D68</f>
        <v>0</v>
      </c>
      <c r="E168" s="75">
        <f t="shared" si="57"/>
        <v>0</v>
      </c>
      <c r="F168" s="75">
        <f t="shared" si="57"/>
        <v>0</v>
      </c>
      <c r="G168" s="75">
        <f t="shared" si="57"/>
        <v>0</v>
      </c>
      <c r="H168" s="75">
        <f t="shared" si="57"/>
        <v>0</v>
      </c>
      <c r="I168" s="75">
        <f t="shared" si="57"/>
        <v>0</v>
      </c>
      <c r="J168" s="75">
        <f t="shared" si="57"/>
        <v>0</v>
      </c>
    </row>
    <row r="169" spans="1:10" hidden="1" x14ac:dyDescent="0.25">
      <c r="A169" s="22" t="s">
        <v>65</v>
      </c>
      <c r="B169" s="22" t="s">
        <v>52</v>
      </c>
      <c r="C169" s="84" t="s">
        <v>77</v>
      </c>
      <c r="D169" s="75">
        <f t="shared" ref="D169:J169" si="58">$L$18*D69</f>
        <v>0</v>
      </c>
      <c r="E169" s="75">
        <f t="shared" si="58"/>
        <v>0</v>
      </c>
      <c r="F169" s="75">
        <f t="shared" si="58"/>
        <v>0</v>
      </c>
      <c r="G169" s="75">
        <f t="shared" si="58"/>
        <v>0</v>
      </c>
      <c r="H169" s="75">
        <f t="shared" si="58"/>
        <v>0</v>
      </c>
      <c r="I169" s="75">
        <f t="shared" si="58"/>
        <v>0</v>
      </c>
      <c r="J169" s="75">
        <f t="shared" si="58"/>
        <v>0</v>
      </c>
    </row>
    <row r="170" spans="1:10" hidden="1" x14ac:dyDescent="0.25">
      <c r="A170" s="22" t="s">
        <v>65</v>
      </c>
      <c r="B170" s="22" t="s">
        <v>52</v>
      </c>
      <c r="C170" s="84" t="s">
        <v>78</v>
      </c>
      <c r="D170" s="75">
        <f t="shared" ref="D170:J170" si="59">$L$19*D70</f>
        <v>0</v>
      </c>
      <c r="E170" s="75">
        <f t="shared" si="59"/>
        <v>0</v>
      </c>
      <c r="F170" s="75">
        <f t="shared" si="59"/>
        <v>0</v>
      </c>
      <c r="G170" s="75">
        <f t="shared" si="59"/>
        <v>0</v>
      </c>
      <c r="H170" s="75">
        <f t="shared" si="59"/>
        <v>0</v>
      </c>
      <c r="I170" s="75">
        <f t="shared" si="59"/>
        <v>0</v>
      </c>
      <c r="J170" s="75">
        <f t="shared" si="59"/>
        <v>0</v>
      </c>
    </row>
    <row r="171" spans="1:10" hidden="1" x14ac:dyDescent="0.25">
      <c r="A171" s="22" t="s">
        <v>65</v>
      </c>
      <c r="B171" s="22" t="s">
        <v>53</v>
      </c>
      <c r="C171" s="84" t="s">
        <v>79</v>
      </c>
      <c r="D171" s="75">
        <f t="shared" ref="D171:J171" si="60">$L$20*D71</f>
        <v>0</v>
      </c>
      <c r="E171" s="75">
        <f t="shared" si="60"/>
        <v>0</v>
      </c>
      <c r="F171" s="75">
        <f t="shared" si="60"/>
        <v>0</v>
      </c>
      <c r="G171" s="75">
        <f t="shared" si="60"/>
        <v>0</v>
      </c>
      <c r="H171" s="75">
        <f t="shared" si="60"/>
        <v>0</v>
      </c>
      <c r="I171" s="75">
        <f t="shared" si="60"/>
        <v>0</v>
      </c>
      <c r="J171" s="75">
        <f t="shared" si="60"/>
        <v>0</v>
      </c>
    </row>
    <row r="172" spans="1:10" hidden="1" x14ac:dyDescent="0.25">
      <c r="A172" s="22" t="s">
        <v>65</v>
      </c>
      <c r="B172" s="22" t="s">
        <v>53</v>
      </c>
      <c r="C172" s="84" t="s">
        <v>80</v>
      </c>
      <c r="D172" s="75">
        <f t="shared" ref="D172:J172" si="61">$L$21*D72</f>
        <v>0</v>
      </c>
      <c r="E172" s="75">
        <f t="shared" si="61"/>
        <v>0</v>
      </c>
      <c r="F172" s="75">
        <f t="shared" si="61"/>
        <v>0</v>
      </c>
      <c r="G172" s="75">
        <f t="shared" si="61"/>
        <v>0</v>
      </c>
      <c r="H172" s="75">
        <f t="shared" si="61"/>
        <v>0</v>
      </c>
      <c r="I172" s="75">
        <f t="shared" si="61"/>
        <v>0</v>
      </c>
      <c r="J172" s="75">
        <f t="shared" si="61"/>
        <v>0</v>
      </c>
    </row>
    <row r="173" spans="1:10" hidden="1" x14ac:dyDescent="0.25">
      <c r="A173" s="22" t="s">
        <v>65</v>
      </c>
      <c r="B173" s="22" t="s">
        <v>53</v>
      </c>
      <c r="C173" s="84" t="s">
        <v>81</v>
      </c>
      <c r="D173" s="75">
        <f t="shared" ref="D173:J173" si="62">$L$22*D73</f>
        <v>0</v>
      </c>
      <c r="E173" s="75">
        <f t="shared" si="62"/>
        <v>0</v>
      </c>
      <c r="F173" s="75">
        <f t="shared" si="62"/>
        <v>0</v>
      </c>
      <c r="G173" s="75">
        <f t="shared" si="62"/>
        <v>0</v>
      </c>
      <c r="H173" s="75">
        <f t="shared" si="62"/>
        <v>0</v>
      </c>
      <c r="I173" s="75">
        <f t="shared" si="62"/>
        <v>0</v>
      </c>
      <c r="J173" s="75">
        <f t="shared" si="62"/>
        <v>0</v>
      </c>
    </row>
    <row r="174" spans="1:10" hidden="1" x14ac:dyDescent="0.25">
      <c r="A174" s="22" t="s">
        <v>65</v>
      </c>
      <c r="B174" s="22" t="s">
        <v>53</v>
      </c>
      <c r="C174" s="84" t="s">
        <v>82</v>
      </c>
      <c r="D174" s="75">
        <f t="shared" ref="D174:J174" si="63">$L$23*D74</f>
        <v>0</v>
      </c>
      <c r="E174" s="75">
        <f t="shared" si="63"/>
        <v>0</v>
      </c>
      <c r="F174" s="75">
        <f t="shared" si="63"/>
        <v>0</v>
      </c>
      <c r="G174" s="75">
        <f t="shared" si="63"/>
        <v>0</v>
      </c>
      <c r="H174" s="75">
        <f t="shared" si="63"/>
        <v>0</v>
      </c>
      <c r="I174" s="75">
        <f t="shared" si="63"/>
        <v>0</v>
      </c>
      <c r="J174" s="75">
        <f t="shared" si="63"/>
        <v>0</v>
      </c>
    </row>
    <row r="175" spans="1:10" hidden="1" x14ac:dyDescent="0.25">
      <c r="A175" s="22" t="s">
        <v>65</v>
      </c>
      <c r="B175" s="22" t="s">
        <v>53</v>
      </c>
      <c r="C175" s="84" t="s">
        <v>83</v>
      </c>
      <c r="D175" s="75">
        <f t="shared" ref="D175:J175" si="64">$L$24*D75</f>
        <v>0</v>
      </c>
      <c r="E175" s="75">
        <f t="shared" si="64"/>
        <v>0</v>
      </c>
      <c r="F175" s="75">
        <f t="shared" si="64"/>
        <v>0</v>
      </c>
      <c r="G175" s="75">
        <f t="shared" si="64"/>
        <v>0</v>
      </c>
      <c r="H175" s="75">
        <f t="shared" si="64"/>
        <v>0</v>
      </c>
      <c r="I175" s="75">
        <f t="shared" si="64"/>
        <v>0</v>
      </c>
      <c r="J175" s="75">
        <f t="shared" si="64"/>
        <v>0</v>
      </c>
    </row>
    <row r="176" spans="1:10" hidden="1" x14ac:dyDescent="0.25">
      <c r="A176" s="22" t="s">
        <v>65</v>
      </c>
      <c r="B176" s="22" t="s">
        <v>53</v>
      </c>
      <c r="C176" s="84" t="s">
        <v>84</v>
      </c>
      <c r="D176" s="75">
        <f t="shared" ref="D176:J176" si="65">$L$25*D76</f>
        <v>0</v>
      </c>
      <c r="E176" s="75">
        <f t="shared" si="65"/>
        <v>0</v>
      </c>
      <c r="F176" s="75">
        <f t="shared" si="65"/>
        <v>0</v>
      </c>
      <c r="G176" s="75">
        <f t="shared" si="65"/>
        <v>0</v>
      </c>
      <c r="H176" s="75">
        <f t="shared" si="65"/>
        <v>0</v>
      </c>
      <c r="I176" s="75">
        <f t="shared" si="65"/>
        <v>0</v>
      </c>
      <c r="J176" s="75">
        <f t="shared" si="65"/>
        <v>0</v>
      </c>
    </row>
    <row r="177" spans="1:10" hidden="1" x14ac:dyDescent="0.25">
      <c r="A177" s="22" t="s">
        <v>65</v>
      </c>
      <c r="B177" s="22" t="s">
        <v>53</v>
      </c>
      <c r="C177" s="84" t="s">
        <v>85</v>
      </c>
      <c r="D177" s="75">
        <f t="shared" ref="D177:J177" si="66">$L$26*D77</f>
        <v>0</v>
      </c>
      <c r="E177" s="75">
        <f t="shared" si="66"/>
        <v>0</v>
      </c>
      <c r="F177" s="75">
        <f t="shared" si="66"/>
        <v>0</v>
      </c>
      <c r="G177" s="75">
        <f t="shared" si="66"/>
        <v>0</v>
      </c>
      <c r="H177" s="75">
        <f t="shared" si="66"/>
        <v>0</v>
      </c>
      <c r="I177" s="75">
        <f t="shared" si="66"/>
        <v>0</v>
      </c>
      <c r="J177" s="75">
        <f t="shared" si="66"/>
        <v>0</v>
      </c>
    </row>
    <row r="178" spans="1:10" hidden="1" x14ac:dyDescent="0.25">
      <c r="A178" s="22" t="s">
        <v>65</v>
      </c>
      <c r="B178" s="22" t="s">
        <v>51</v>
      </c>
      <c r="C178" s="84" t="s">
        <v>86</v>
      </c>
      <c r="D178" s="75">
        <f t="shared" ref="D178:J178" si="67">$L$27*D78</f>
        <v>0</v>
      </c>
      <c r="E178" s="75">
        <f t="shared" si="67"/>
        <v>0</v>
      </c>
      <c r="F178" s="75">
        <f t="shared" si="67"/>
        <v>0</v>
      </c>
      <c r="G178" s="75">
        <f t="shared" si="67"/>
        <v>0</v>
      </c>
      <c r="H178" s="75">
        <f t="shared" si="67"/>
        <v>0</v>
      </c>
      <c r="I178" s="75">
        <f t="shared" si="67"/>
        <v>0</v>
      </c>
      <c r="J178" s="75">
        <f t="shared" si="67"/>
        <v>0</v>
      </c>
    </row>
    <row r="179" spans="1:10" hidden="1" x14ac:dyDescent="0.25">
      <c r="A179" s="22" t="s">
        <v>65</v>
      </c>
      <c r="B179" s="22" t="s">
        <v>51</v>
      </c>
      <c r="C179" s="84" t="s">
        <v>87</v>
      </c>
      <c r="D179" s="75">
        <f t="shared" ref="D179:J179" si="68">$L$28*D79</f>
        <v>0</v>
      </c>
      <c r="E179" s="75">
        <f t="shared" si="68"/>
        <v>0</v>
      </c>
      <c r="F179" s="75">
        <f t="shared" si="68"/>
        <v>0</v>
      </c>
      <c r="G179" s="75">
        <f t="shared" si="68"/>
        <v>0</v>
      </c>
      <c r="H179" s="75">
        <f t="shared" si="68"/>
        <v>0</v>
      </c>
      <c r="I179" s="75">
        <f t="shared" si="68"/>
        <v>0</v>
      </c>
      <c r="J179" s="75">
        <f t="shared" si="68"/>
        <v>0</v>
      </c>
    </row>
    <row r="180" spans="1:10" hidden="1" x14ac:dyDescent="0.25">
      <c r="A180" s="22" t="s">
        <v>65</v>
      </c>
      <c r="B180" s="22" t="s">
        <v>51</v>
      </c>
      <c r="C180" s="84" t="s">
        <v>88</v>
      </c>
      <c r="D180" s="75">
        <f t="shared" ref="D180:J180" si="69">$L$29*D80</f>
        <v>0</v>
      </c>
      <c r="E180" s="75">
        <f t="shared" si="69"/>
        <v>0</v>
      </c>
      <c r="F180" s="75">
        <f t="shared" si="69"/>
        <v>0</v>
      </c>
      <c r="G180" s="75">
        <f t="shared" si="69"/>
        <v>0</v>
      </c>
      <c r="H180" s="75">
        <f t="shared" si="69"/>
        <v>0</v>
      </c>
      <c r="I180" s="75">
        <f t="shared" si="69"/>
        <v>0</v>
      </c>
      <c r="J180" s="75">
        <f t="shared" si="69"/>
        <v>0</v>
      </c>
    </row>
    <row r="181" spans="1:10" hidden="1" x14ac:dyDescent="0.25">
      <c r="A181" s="22" t="s">
        <v>65</v>
      </c>
      <c r="B181" s="22" t="s">
        <v>51</v>
      </c>
      <c r="C181" s="84" t="s">
        <v>89</v>
      </c>
      <c r="D181" s="75">
        <f t="shared" ref="D181:J181" si="70">$L$30*D81</f>
        <v>0</v>
      </c>
      <c r="E181" s="75">
        <f t="shared" si="70"/>
        <v>0</v>
      </c>
      <c r="F181" s="75">
        <f t="shared" si="70"/>
        <v>0</v>
      </c>
      <c r="G181" s="75">
        <f t="shared" si="70"/>
        <v>0</v>
      </c>
      <c r="H181" s="75">
        <f t="shared" si="70"/>
        <v>0</v>
      </c>
      <c r="I181" s="75">
        <f t="shared" si="70"/>
        <v>0</v>
      </c>
      <c r="J181" s="75">
        <f t="shared" si="70"/>
        <v>0</v>
      </c>
    </row>
    <row r="182" spans="1:10" hidden="1" x14ac:dyDescent="0.25">
      <c r="A182" s="22" t="s">
        <v>65</v>
      </c>
      <c r="B182" s="22" t="s">
        <v>51</v>
      </c>
      <c r="C182" s="84" t="s">
        <v>90</v>
      </c>
      <c r="D182" s="75">
        <f t="shared" ref="D182:J182" si="71">$L$31*D82</f>
        <v>0</v>
      </c>
      <c r="E182" s="75">
        <f t="shared" si="71"/>
        <v>0</v>
      </c>
      <c r="F182" s="75">
        <f t="shared" si="71"/>
        <v>0</v>
      </c>
      <c r="G182" s="75">
        <f t="shared" si="71"/>
        <v>0</v>
      </c>
      <c r="H182" s="75">
        <f t="shared" si="71"/>
        <v>0</v>
      </c>
      <c r="I182" s="75">
        <f t="shared" si="71"/>
        <v>0</v>
      </c>
      <c r="J182" s="75">
        <f t="shared" si="71"/>
        <v>0</v>
      </c>
    </row>
    <row r="183" spans="1:10" hidden="1" x14ac:dyDescent="0.25">
      <c r="A183" s="22" t="s">
        <v>65</v>
      </c>
      <c r="B183" s="22" t="s">
        <v>51</v>
      </c>
      <c r="C183" s="84" t="s">
        <v>91</v>
      </c>
      <c r="D183" s="75">
        <f t="shared" ref="D183:J183" si="72">$L$32*D83</f>
        <v>0</v>
      </c>
      <c r="E183" s="75">
        <f t="shared" si="72"/>
        <v>0</v>
      </c>
      <c r="F183" s="75">
        <f t="shared" si="72"/>
        <v>0</v>
      </c>
      <c r="G183" s="75">
        <f t="shared" si="72"/>
        <v>0</v>
      </c>
      <c r="H183" s="75">
        <f t="shared" si="72"/>
        <v>0</v>
      </c>
      <c r="I183" s="75">
        <f t="shared" si="72"/>
        <v>0</v>
      </c>
      <c r="J183" s="75">
        <f t="shared" si="72"/>
        <v>0</v>
      </c>
    </row>
    <row r="184" spans="1:10" hidden="1" x14ac:dyDescent="0.25">
      <c r="A184" s="22" t="s">
        <v>65</v>
      </c>
      <c r="B184" s="22" t="s">
        <v>51</v>
      </c>
      <c r="C184" s="84" t="s">
        <v>92</v>
      </c>
      <c r="D184" s="75">
        <f t="shared" ref="D184:J184" si="73">$L$33*D84</f>
        <v>0</v>
      </c>
      <c r="E184" s="75">
        <f t="shared" si="73"/>
        <v>0</v>
      </c>
      <c r="F184" s="75">
        <f t="shared" si="73"/>
        <v>0</v>
      </c>
      <c r="G184" s="75">
        <f t="shared" si="73"/>
        <v>0</v>
      </c>
      <c r="H184" s="75">
        <f t="shared" si="73"/>
        <v>0</v>
      </c>
      <c r="I184" s="75">
        <f t="shared" si="73"/>
        <v>0</v>
      </c>
      <c r="J184" s="75">
        <f t="shared" si="73"/>
        <v>0</v>
      </c>
    </row>
    <row r="185" spans="1:10" hidden="1" x14ac:dyDescent="0.25">
      <c r="A185" s="22" t="s">
        <v>65</v>
      </c>
      <c r="B185" s="22" t="s">
        <v>51</v>
      </c>
      <c r="C185" s="84" t="s">
        <v>93</v>
      </c>
      <c r="D185" s="75">
        <f t="shared" ref="D185:J185" si="74">$L$34*D85</f>
        <v>0</v>
      </c>
      <c r="E185" s="75">
        <f t="shared" si="74"/>
        <v>0</v>
      </c>
      <c r="F185" s="75">
        <f t="shared" si="74"/>
        <v>0</v>
      </c>
      <c r="G185" s="75">
        <f t="shared" si="74"/>
        <v>0</v>
      </c>
      <c r="H185" s="75">
        <f t="shared" si="74"/>
        <v>0</v>
      </c>
      <c r="I185" s="75">
        <f t="shared" si="74"/>
        <v>0</v>
      </c>
      <c r="J185" s="75">
        <f t="shared" si="74"/>
        <v>0</v>
      </c>
    </row>
    <row r="186" spans="1:10" hidden="1" x14ac:dyDescent="0.25">
      <c r="A186" s="22" t="s">
        <v>65</v>
      </c>
      <c r="B186" s="22" t="s">
        <v>51</v>
      </c>
      <c r="C186" s="84" t="s">
        <v>94</v>
      </c>
      <c r="D186" s="75">
        <f t="shared" ref="D186:J186" si="75">$L$35*D86</f>
        <v>0</v>
      </c>
      <c r="E186" s="75">
        <f t="shared" si="75"/>
        <v>0</v>
      </c>
      <c r="F186" s="75">
        <f t="shared" si="75"/>
        <v>0</v>
      </c>
      <c r="G186" s="75">
        <f t="shared" si="75"/>
        <v>0</v>
      </c>
      <c r="H186" s="75">
        <f t="shared" si="75"/>
        <v>0</v>
      </c>
      <c r="I186" s="75">
        <f t="shared" si="75"/>
        <v>0</v>
      </c>
      <c r="J186" s="75">
        <f t="shared" si="75"/>
        <v>0</v>
      </c>
    </row>
    <row r="187" spans="1:10" hidden="1" x14ac:dyDescent="0.25">
      <c r="A187" s="22" t="s">
        <v>65</v>
      </c>
      <c r="B187" s="22" t="s">
        <v>51</v>
      </c>
      <c r="C187" s="84" t="s">
        <v>95</v>
      </c>
      <c r="D187" s="75">
        <f t="shared" ref="D187:J187" si="76">$L$36*D87</f>
        <v>0</v>
      </c>
      <c r="E187" s="75">
        <f t="shared" si="76"/>
        <v>0</v>
      </c>
      <c r="F187" s="75">
        <f t="shared" si="76"/>
        <v>0</v>
      </c>
      <c r="G187" s="75">
        <f t="shared" si="76"/>
        <v>0</v>
      </c>
      <c r="H187" s="75">
        <f t="shared" si="76"/>
        <v>0</v>
      </c>
      <c r="I187" s="75">
        <f t="shared" si="76"/>
        <v>0</v>
      </c>
      <c r="J187" s="75">
        <f t="shared" si="76"/>
        <v>0</v>
      </c>
    </row>
    <row r="188" spans="1:10" hidden="1" x14ac:dyDescent="0.25">
      <c r="A188" s="22" t="s">
        <v>65</v>
      </c>
      <c r="B188" s="22" t="s">
        <v>51</v>
      </c>
      <c r="C188" s="84" t="s">
        <v>96</v>
      </c>
      <c r="D188" s="75">
        <f t="shared" ref="D188:J188" si="77">$L$37*D88</f>
        <v>0</v>
      </c>
      <c r="E188" s="75">
        <f t="shared" si="77"/>
        <v>0</v>
      </c>
      <c r="F188" s="75">
        <f t="shared" si="77"/>
        <v>0</v>
      </c>
      <c r="G188" s="75">
        <f t="shared" si="77"/>
        <v>0</v>
      </c>
      <c r="H188" s="75">
        <f t="shared" si="77"/>
        <v>0</v>
      </c>
      <c r="I188" s="75">
        <f t="shared" si="77"/>
        <v>0</v>
      </c>
      <c r="J188" s="75">
        <f t="shared" si="77"/>
        <v>0</v>
      </c>
    </row>
    <row r="189" spans="1:10" hidden="1" x14ac:dyDescent="0.25">
      <c r="A189" s="22" t="s">
        <v>97</v>
      </c>
      <c r="B189" s="22" t="s">
        <v>50</v>
      </c>
      <c r="C189" s="84" t="s">
        <v>66</v>
      </c>
      <c r="D189" s="75">
        <f t="shared" ref="D189:J189" si="78">$L$7*D89</f>
        <v>0</v>
      </c>
      <c r="E189" s="75">
        <f t="shared" si="78"/>
        <v>0</v>
      </c>
      <c r="F189" s="75">
        <f t="shared" si="78"/>
        <v>0</v>
      </c>
      <c r="G189" s="75">
        <f t="shared" si="78"/>
        <v>0</v>
      </c>
      <c r="H189" s="75">
        <f t="shared" si="78"/>
        <v>0</v>
      </c>
      <c r="I189" s="75">
        <f t="shared" si="78"/>
        <v>0</v>
      </c>
      <c r="J189" s="75">
        <f t="shared" si="78"/>
        <v>0</v>
      </c>
    </row>
    <row r="190" spans="1:10" hidden="1" x14ac:dyDescent="0.25">
      <c r="A190" s="22" t="s">
        <v>97</v>
      </c>
      <c r="B190" s="22" t="s">
        <v>50</v>
      </c>
      <c r="C190" s="84" t="s">
        <v>67</v>
      </c>
      <c r="D190" s="75">
        <f t="shared" ref="D190:J190" si="79">$L$8*D90</f>
        <v>0</v>
      </c>
      <c r="E190" s="75">
        <f t="shared" si="79"/>
        <v>0</v>
      </c>
      <c r="F190" s="75">
        <f t="shared" si="79"/>
        <v>0</v>
      </c>
      <c r="G190" s="75">
        <f t="shared" si="79"/>
        <v>0</v>
      </c>
      <c r="H190" s="75">
        <f t="shared" si="79"/>
        <v>0</v>
      </c>
      <c r="I190" s="75">
        <f t="shared" si="79"/>
        <v>0</v>
      </c>
      <c r="J190" s="75">
        <f t="shared" si="79"/>
        <v>0</v>
      </c>
    </row>
    <row r="191" spans="1:10" hidden="1" x14ac:dyDescent="0.25">
      <c r="A191" s="22" t="s">
        <v>97</v>
      </c>
      <c r="B191" s="22" t="s">
        <v>50</v>
      </c>
      <c r="C191" s="84" t="s">
        <v>68</v>
      </c>
      <c r="D191" s="75">
        <f t="shared" ref="D191:J191" si="80">$L$9*D91</f>
        <v>0</v>
      </c>
      <c r="E191" s="75">
        <f t="shared" si="80"/>
        <v>0</v>
      </c>
      <c r="F191" s="75">
        <f t="shared" si="80"/>
        <v>0</v>
      </c>
      <c r="G191" s="75">
        <f t="shared" si="80"/>
        <v>0</v>
      </c>
      <c r="H191" s="75">
        <f t="shared" si="80"/>
        <v>0</v>
      </c>
      <c r="I191" s="75">
        <f t="shared" si="80"/>
        <v>0</v>
      </c>
      <c r="J191" s="75">
        <f t="shared" si="80"/>
        <v>0</v>
      </c>
    </row>
    <row r="192" spans="1:10" hidden="1" x14ac:dyDescent="0.25">
      <c r="A192" s="22" t="s">
        <v>97</v>
      </c>
      <c r="B192" s="22" t="s">
        <v>50</v>
      </c>
      <c r="C192" s="84" t="s">
        <v>69</v>
      </c>
      <c r="D192" s="75">
        <f t="shared" ref="D192:J192" si="81">$L$10*D92</f>
        <v>0</v>
      </c>
      <c r="E192" s="75">
        <f t="shared" si="81"/>
        <v>0</v>
      </c>
      <c r="F192" s="75">
        <f t="shared" si="81"/>
        <v>0</v>
      </c>
      <c r="G192" s="75">
        <f t="shared" si="81"/>
        <v>0</v>
      </c>
      <c r="H192" s="75">
        <f t="shared" si="81"/>
        <v>0</v>
      </c>
      <c r="I192" s="75">
        <f t="shared" si="81"/>
        <v>0</v>
      </c>
      <c r="J192" s="75">
        <f t="shared" si="81"/>
        <v>0</v>
      </c>
    </row>
    <row r="193" spans="1:10" hidden="1" x14ac:dyDescent="0.25">
      <c r="A193" s="22" t="s">
        <v>97</v>
      </c>
      <c r="B193" s="22" t="s">
        <v>50</v>
      </c>
      <c r="C193" s="84" t="s">
        <v>70</v>
      </c>
      <c r="D193" s="75">
        <f t="shared" ref="D193:J193" si="82">$L$11*D93</f>
        <v>0</v>
      </c>
      <c r="E193" s="75">
        <f t="shared" si="82"/>
        <v>0</v>
      </c>
      <c r="F193" s="75">
        <f t="shared" si="82"/>
        <v>0</v>
      </c>
      <c r="G193" s="75">
        <f t="shared" si="82"/>
        <v>0</v>
      </c>
      <c r="H193" s="75">
        <f t="shared" si="82"/>
        <v>0</v>
      </c>
      <c r="I193" s="75">
        <f t="shared" si="82"/>
        <v>0</v>
      </c>
      <c r="J193" s="75">
        <f t="shared" si="82"/>
        <v>0</v>
      </c>
    </row>
    <row r="194" spans="1:10" hidden="1" x14ac:dyDescent="0.25">
      <c r="A194" s="22" t="s">
        <v>97</v>
      </c>
      <c r="B194" s="22" t="s">
        <v>50</v>
      </c>
      <c r="C194" s="84" t="s">
        <v>71</v>
      </c>
      <c r="D194" s="75">
        <f t="shared" ref="D194:J194" si="83">$L$12*D94</f>
        <v>0</v>
      </c>
      <c r="E194" s="75">
        <f t="shared" si="83"/>
        <v>0</v>
      </c>
      <c r="F194" s="75">
        <f t="shared" si="83"/>
        <v>0</v>
      </c>
      <c r="G194" s="75">
        <f t="shared" si="83"/>
        <v>0</v>
      </c>
      <c r="H194" s="75">
        <f t="shared" si="83"/>
        <v>0</v>
      </c>
      <c r="I194" s="75">
        <f t="shared" si="83"/>
        <v>0</v>
      </c>
      <c r="J194" s="75">
        <f t="shared" si="83"/>
        <v>0</v>
      </c>
    </row>
    <row r="195" spans="1:10" hidden="1" x14ac:dyDescent="0.25">
      <c r="A195" s="22" t="s">
        <v>97</v>
      </c>
      <c r="B195" s="22" t="s">
        <v>50</v>
      </c>
      <c r="C195" s="84" t="s">
        <v>72</v>
      </c>
      <c r="D195" s="75">
        <f t="shared" ref="D195:J195" si="84">$L$13*D95</f>
        <v>0</v>
      </c>
      <c r="E195" s="75">
        <f t="shared" si="84"/>
        <v>0</v>
      </c>
      <c r="F195" s="75">
        <f t="shared" si="84"/>
        <v>0</v>
      </c>
      <c r="G195" s="75">
        <f t="shared" si="84"/>
        <v>0</v>
      </c>
      <c r="H195" s="75">
        <f t="shared" si="84"/>
        <v>0</v>
      </c>
      <c r="I195" s="75">
        <f t="shared" si="84"/>
        <v>0</v>
      </c>
      <c r="J195" s="75">
        <f t="shared" si="84"/>
        <v>0</v>
      </c>
    </row>
    <row r="196" spans="1:10" hidden="1" x14ac:dyDescent="0.25">
      <c r="A196" s="22" t="s">
        <v>97</v>
      </c>
      <c r="B196" s="22" t="s">
        <v>52</v>
      </c>
      <c r="C196" s="84" t="s">
        <v>73</v>
      </c>
      <c r="D196" s="75">
        <f t="shared" ref="D196:J196" si="85">$L$14*D96</f>
        <v>0</v>
      </c>
      <c r="E196" s="75">
        <f t="shared" si="85"/>
        <v>0</v>
      </c>
      <c r="F196" s="75">
        <f t="shared" si="85"/>
        <v>0</v>
      </c>
      <c r="G196" s="75">
        <f t="shared" si="85"/>
        <v>0</v>
      </c>
      <c r="H196" s="75">
        <f t="shared" si="85"/>
        <v>0</v>
      </c>
      <c r="I196" s="75">
        <f t="shared" si="85"/>
        <v>0</v>
      </c>
      <c r="J196" s="75">
        <f t="shared" si="85"/>
        <v>0</v>
      </c>
    </row>
    <row r="197" spans="1:10" hidden="1" x14ac:dyDescent="0.25">
      <c r="A197" s="22" t="s">
        <v>97</v>
      </c>
      <c r="B197" s="22" t="s">
        <v>52</v>
      </c>
      <c r="C197" s="84" t="s">
        <v>74</v>
      </c>
      <c r="D197" s="75">
        <f t="shared" ref="D197:J197" si="86">$L$15*D97</f>
        <v>0</v>
      </c>
      <c r="E197" s="75">
        <f t="shared" si="86"/>
        <v>0</v>
      </c>
      <c r="F197" s="75">
        <f t="shared" si="86"/>
        <v>0</v>
      </c>
      <c r="G197" s="75">
        <f t="shared" si="86"/>
        <v>0</v>
      </c>
      <c r="H197" s="75">
        <f t="shared" si="86"/>
        <v>0</v>
      </c>
      <c r="I197" s="75">
        <f t="shared" si="86"/>
        <v>0</v>
      </c>
      <c r="J197" s="75">
        <f t="shared" si="86"/>
        <v>0</v>
      </c>
    </row>
    <row r="198" spans="1:10" hidden="1" x14ac:dyDescent="0.25">
      <c r="A198" s="22" t="s">
        <v>97</v>
      </c>
      <c r="B198" s="22" t="s">
        <v>52</v>
      </c>
      <c r="C198" s="84" t="s">
        <v>75</v>
      </c>
      <c r="D198" s="75">
        <f t="shared" ref="D198:J198" si="87">$L$16*D98</f>
        <v>0</v>
      </c>
      <c r="E198" s="75">
        <f t="shared" si="87"/>
        <v>0</v>
      </c>
      <c r="F198" s="75">
        <f t="shared" si="87"/>
        <v>0</v>
      </c>
      <c r="G198" s="75">
        <f t="shared" si="87"/>
        <v>0</v>
      </c>
      <c r="H198" s="75">
        <f t="shared" si="87"/>
        <v>0</v>
      </c>
      <c r="I198" s="75">
        <f t="shared" si="87"/>
        <v>0</v>
      </c>
      <c r="J198" s="75">
        <f t="shared" si="87"/>
        <v>0</v>
      </c>
    </row>
    <row r="199" spans="1:10" hidden="1" x14ac:dyDescent="0.25">
      <c r="A199" s="22" t="s">
        <v>97</v>
      </c>
      <c r="B199" s="22" t="s">
        <v>52</v>
      </c>
      <c r="C199" s="84" t="s">
        <v>76</v>
      </c>
      <c r="D199" s="75">
        <f t="shared" ref="D199:J199" si="88">$L$17*D99</f>
        <v>0</v>
      </c>
      <c r="E199" s="75">
        <f t="shared" si="88"/>
        <v>0</v>
      </c>
      <c r="F199" s="75">
        <f t="shared" si="88"/>
        <v>0</v>
      </c>
      <c r="G199" s="75">
        <f t="shared" si="88"/>
        <v>0</v>
      </c>
      <c r="H199" s="75">
        <f t="shared" si="88"/>
        <v>0</v>
      </c>
      <c r="I199" s="75">
        <f t="shared" si="88"/>
        <v>0</v>
      </c>
      <c r="J199" s="75">
        <f t="shared" si="88"/>
        <v>0</v>
      </c>
    </row>
    <row r="200" spans="1:10" hidden="1" x14ac:dyDescent="0.25">
      <c r="A200" s="22" t="s">
        <v>97</v>
      </c>
      <c r="B200" s="22" t="s">
        <v>52</v>
      </c>
      <c r="C200" s="84" t="s">
        <v>77</v>
      </c>
      <c r="D200" s="75">
        <f t="shared" ref="D200:J200" si="89">$L$18*D100</f>
        <v>0</v>
      </c>
      <c r="E200" s="75">
        <f t="shared" si="89"/>
        <v>0</v>
      </c>
      <c r="F200" s="75">
        <f t="shared" si="89"/>
        <v>0</v>
      </c>
      <c r="G200" s="75">
        <f t="shared" si="89"/>
        <v>0</v>
      </c>
      <c r="H200" s="75">
        <f t="shared" si="89"/>
        <v>0</v>
      </c>
      <c r="I200" s="75">
        <f t="shared" si="89"/>
        <v>0</v>
      </c>
      <c r="J200" s="75">
        <f t="shared" si="89"/>
        <v>0</v>
      </c>
    </row>
    <row r="201" spans="1:10" hidden="1" x14ac:dyDescent="0.25">
      <c r="A201" s="22" t="s">
        <v>97</v>
      </c>
      <c r="B201" s="22" t="s">
        <v>52</v>
      </c>
      <c r="C201" s="84" t="s">
        <v>78</v>
      </c>
      <c r="D201" s="75">
        <f t="shared" ref="D201:J201" si="90">$L$19*D101</f>
        <v>0</v>
      </c>
      <c r="E201" s="75">
        <f t="shared" si="90"/>
        <v>0</v>
      </c>
      <c r="F201" s="75">
        <f t="shared" si="90"/>
        <v>0</v>
      </c>
      <c r="G201" s="75">
        <f t="shared" si="90"/>
        <v>0</v>
      </c>
      <c r="H201" s="75">
        <f t="shared" si="90"/>
        <v>0</v>
      </c>
      <c r="I201" s="75">
        <f t="shared" si="90"/>
        <v>0</v>
      </c>
      <c r="J201" s="75">
        <f t="shared" si="90"/>
        <v>0</v>
      </c>
    </row>
    <row r="202" spans="1:10" hidden="1" x14ac:dyDescent="0.25">
      <c r="A202" s="22" t="s">
        <v>97</v>
      </c>
      <c r="B202" s="22" t="s">
        <v>53</v>
      </c>
      <c r="C202" s="84" t="s">
        <v>79</v>
      </c>
      <c r="D202" s="75">
        <f t="shared" ref="D202:J202" si="91">$L$20*D102</f>
        <v>0</v>
      </c>
      <c r="E202" s="75">
        <f t="shared" si="91"/>
        <v>0</v>
      </c>
      <c r="F202" s="75">
        <f t="shared" si="91"/>
        <v>0</v>
      </c>
      <c r="G202" s="75">
        <f t="shared" si="91"/>
        <v>0</v>
      </c>
      <c r="H202" s="75">
        <f t="shared" si="91"/>
        <v>0</v>
      </c>
      <c r="I202" s="75">
        <f t="shared" si="91"/>
        <v>0</v>
      </c>
      <c r="J202" s="75">
        <f t="shared" si="91"/>
        <v>0</v>
      </c>
    </row>
    <row r="203" spans="1:10" hidden="1" x14ac:dyDescent="0.25">
      <c r="A203" s="22" t="s">
        <v>97</v>
      </c>
      <c r="B203" s="22" t="s">
        <v>53</v>
      </c>
      <c r="C203" s="84" t="s">
        <v>80</v>
      </c>
      <c r="D203" s="75">
        <f t="shared" ref="D203:J203" si="92">$L$21*D103</f>
        <v>0</v>
      </c>
      <c r="E203" s="75">
        <f t="shared" si="92"/>
        <v>0</v>
      </c>
      <c r="F203" s="75">
        <f t="shared" si="92"/>
        <v>0</v>
      </c>
      <c r="G203" s="75">
        <f t="shared" si="92"/>
        <v>0</v>
      </c>
      <c r="H203" s="75">
        <f t="shared" si="92"/>
        <v>0</v>
      </c>
      <c r="I203" s="75">
        <f t="shared" si="92"/>
        <v>0</v>
      </c>
      <c r="J203" s="75">
        <f t="shared" si="92"/>
        <v>0</v>
      </c>
    </row>
    <row r="204" spans="1:10" hidden="1" x14ac:dyDescent="0.25">
      <c r="A204" s="22" t="s">
        <v>97</v>
      </c>
      <c r="B204" s="22" t="s">
        <v>53</v>
      </c>
      <c r="C204" s="84" t="s">
        <v>81</v>
      </c>
      <c r="D204" s="75">
        <f t="shared" ref="D204:J204" si="93">$L$22*D104</f>
        <v>0</v>
      </c>
      <c r="E204" s="75">
        <f t="shared" si="93"/>
        <v>0</v>
      </c>
      <c r="F204" s="75">
        <f t="shared" si="93"/>
        <v>0</v>
      </c>
      <c r="G204" s="75">
        <f t="shared" si="93"/>
        <v>0</v>
      </c>
      <c r="H204" s="75">
        <f t="shared" si="93"/>
        <v>0</v>
      </c>
      <c r="I204" s="75">
        <f t="shared" si="93"/>
        <v>0</v>
      </c>
      <c r="J204" s="75">
        <f t="shared" si="93"/>
        <v>0</v>
      </c>
    </row>
    <row r="205" spans="1:10" hidden="1" x14ac:dyDescent="0.25">
      <c r="A205" s="22" t="s">
        <v>97</v>
      </c>
      <c r="B205" s="22" t="s">
        <v>53</v>
      </c>
      <c r="C205" s="84" t="s">
        <v>82</v>
      </c>
      <c r="D205" s="75">
        <f t="shared" ref="D205:J205" si="94">$L$23*D105</f>
        <v>0</v>
      </c>
      <c r="E205" s="75">
        <f t="shared" si="94"/>
        <v>0</v>
      </c>
      <c r="F205" s="75">
        <f t="shared" si="94"/>
        <v>0</v>
      </c>
      <c r="G205" s="75">
        <f t="shared" si="94"/>
        <v>0</v>
      </c>
      <c r="H205" s="75">
        <f t="shared" si="94"/>
        <v>0</v>
      </c>
      <c r="I205" s="75">
        <f t="shared" si="94"/>
        <v>0</v>
      </c>
      <c r="J205" s="75">
        <f t="shared" si="94"/>
        <v>0</v>
      </c>
    </row>
    <row r="206" spans="1:10" hidden="1" x14ac:dyDescent="0.25">
      <c r="A206" s="22" t="s">
        <v>97</v>
      </c>
      <c r="B206" s="22" t="s">
        <v>53</v>
      </c>
      <c r="C206" s="84" t="s">
        <v>83</v>
      </c>
      <c r="D206" s="75">
        <f t="shared" ref="D206:J206" si="95">$L$24*D106</f>
        <v>0</v>
      </c>
      <c r="E206" s="75">
        <f t="shared" si="95"/>
        <v>0</v>
      </c>
      <c r="F206" s="75">
        <f t="shared" si="95"/>
        <v>0</v>
      </c>
      <c r="G206" s="75">
        <f t="shared" si="95"/>
        <v>0</v>
      </c>
      <c r="H206" s="75">
        <f t="shared" si="95"/>
        <v>0</v>
      </c>
      <c r="I206" s="75">
        <f t="shared" si="95"/>
        <v>0</v>
      </c>
      <c r="J206" s="75">
        <f t="shared" si="95"/>
        <v>0</v>
      </c>
    </row>
    <row r="207" spans="1:10" hidden="1" x14ac:dyDescent="0.25">
      <c r="A207" s="22" t="s">
        <v>97</v>
      </c>
      <c r="B207" s="22" t="s">
        <v>53</v>
      </c>
      <c r="C207" s="84" t="s">
        <v>84</v>
      </c>
      <c r="D207" s="75">
        <f t="shared" ref="D207:J207" si="96">$L$25*D107</f>
        <v>0</v>
      </c>
      <c r="E207" s="75">
        <f t="shared" si="96"/>
        <v>0</v>
      </c>
      <c r="F207" s="75">
        <f t="shared" si="96"/>
        <v>0</v>
      </c>
      <c r="G207" s="75">
        <f t="shared" si="96"/>
        <v>0</v>
      </c>
      <c r="H207" s="75">
        <f t="shared" si="96"/>
        <v>0</v>
      </c>
      <c r="I207" s="75">
        <f t="shared" si="96"/>
        <v>0</v>
      </c>
      <c r="J207" s="75">
        <f t="shared" si="96"/>
        <v>0</v>
      </c>
    </row>
    <row r="208" spans="1:10" hidden="1" x14ac:dyDescent="0.25">
      <c r="A208" s="22" t="s">
        <v>97</v>
      </c>
      <c r="B208" s="22" t="s">
        <v>53</v>
      </c>
      <c r="C208" s="84" t="s">
        <v>85</v>
      </c>
      <c r="D208" s="75">
        <f t="shared" ref="D208:J208" si="97">$L$26*D108</f>
        <v>0</v>
      </c>
      <c r="E208" s="75">
        <f t="shared" si="97"/>
        <v>0</v>
      </c>
      <c r="F208" s="75">
        <f t="shared" si="97"/>
        <v>0</v>
      </c>
      <c r="G208" s="75">
        <f t="shared" si="97"/>
        <v>0</v>
      </c>
      <c r="H208" s="75">
        <f t="shared" si="97"/>
        <v>0</v>
      </c>
      <c r="I208" s="75">
        <f t="shared" si="97"/>
        <v>0</v>
      </c>
      <c r="J208" s="75">
        <f t="shared" si="97"/>
        <v>0</v>
      </c>
    </row>
    <row r="209" spans="1:10" hidden="1" x14ac:dyDescent="0.25">
      <c r="A209" s="22" t="s">
        <v>97</v>
      </c>
      <c r="B209" s="22" t="s">
        <v>51</v>
      </c>
      <c r="C209" s="84" t="s">
        <v>86</v>
      </c>
      <c r="D209" s="75">
        <f t="shared" ref="D209:J209" si="98">$L$27*D109</f>
        <v>0</v>
      </c>
      <c r="E209" s="75">
        <f t="shared" si="98"/>
        <v>0</v>
      </c>
      <c r="F209" s="75">
        <f t="shared" si="98"/>
        <v>0</v>
      </c>
      <c r="G209" s="75">
        <f t="shared" si="98"/>
        <v>0</v>
      </c>
      <c r="H209" s="75">
        <f t="shared" si="98"/>
        <v>0</v>
      </c>
      <c r="I209" s="75">
        <f t="shared" si="98"/>
        <v>0</v>
      </c>
      <c r="J209" s="75">
        <f t="shared" si="98"/>
        <v>0</v>
      </c>
    </row>
    <row r="210" spans="1:10" hidden="1" x14ac:dyDescent="0.25">
      <c r="A210" s="22" t="s">
        <v>97</v>
      </c>
      <c r="B210" s="22" t="s">
        <v>51</v>
      </c>
      <c r="C210" s="84" t="s">
        <v>87</v>
      </c>
      <c r="D210" s="75">
        <f t="shared" ref="D210:J210" si="99">$L$28*D110</f>
        <v>0</v>
      </c>
      <c r="E210" s="75">
        <f t="shared" si="99"/>
        <v>0</v>
      </c>
      <c r="F210" s="75">
        <f t="shared" si="99"/>
        <v>0</v>
      </c>
      <c r="G210" s="75">
        <f t="shared" si="99"/>
        <v>0</v>
      </c>
      <c r="H210" s="75">
        <f t="shared" si="99"/>
        <v>0</v>
      </c>
      <c r="I210" s="75">
        <f t="shared" si="99"/>
        <v>0</v>
      </c>
      <c r="J210" s="75">
        <f t="shared" si="99"/>
        <v>0</v>
      </c>
    </row>
    <row r="211" spans="1:10" hidden="1" x14ac:dyDescent="0.25">
      <c r="A211" s="22" t="s">
        <v>97</v>
      </c>
      <c r="B211" s="22" t="s">
        <v>51</v>
      </c>
      <c r="C211" s="84" t="s">
        <v>88</v>
      </c>
      <c r="D211" s="75">
        <f t="shared" ref="D211:J211" si="100">$L$29*D111</f>
        <v>0</v>
      </c>
      <c r="E211" s="75">
        <f t="shared" si="100"/>
        <v>0</v>
      </c>
      <c r="F211" s="75">
        <f t="shared" si="100"/>
        <v>0</v>
      </c>
      <c r="G211" s="75">
        <f t="shared" si="100"/>
        <v>0</v>
      </c>
      <c r="H211" s="75">
        <f t="shared" si="100"/>
        <v>0</v>
      </c>
      <c r="I211" s="75">
        <f t="shared" si="100"/>
        <v>0</v>
      </c>
      <c r="J211" s="75">
        <f t="shared" si="100"/>
        <v>0</v>
      </c>
    </row>
    <row r="212" spans="1:10" hidden="1" x14ac:dyDescent="0.25">
      <c r="A212" s="22" t="s">
        <v>97</v>
      </c>
      <c r="B212" s="22" t="s">
        <v>51</v>
      </c>
      <c r="C212" s="84" t="s">
        <v>89</v>
      </c>
      <c r="D212" s="75">
        <f t="shared" ref="D212:J212" si="101">$L$30*D112</f>
        <v>0</v>
      </c>
      <c r="E212" s="75">
        <f t="shared" si="101"/>
        <v>0</v>
      </c>
      <c r="F212" s="75">
        <f t="shared" si="101"/>
        <v>0</v>
      </c>
      <c r="G212" s="75">
        <f t="shared" si="101"/>
        <v>0</v>
      </c>
      <c r="H212" s="75">
        <f t="shared" si="101"/>
        <v>0</v>
      </c>
      <c r="I212" s="75">
        <f t="shared" si="101"/>
        <v>0</v>
      </c>
      <c r="J212" s="75">
        <f t="shared" si="101"/>
        <v>0</v>
      </c>
    </row>
    <row r="213" spans="1:10" hidden="1" x14ac:dyDescent="0.25">
      <c r="A213" s="22" t="s">
        <v>97</v>
      </c>
      <c r="B213" s="22" t="s">
        <v>51</v>
      </c>
      <c r="C213" s="84" t="s">
        <v>90</v>
      </c>
      <c r="D213" s="75">
        <f t="shared" ref="D213:J213" si="102">$L$31*D113</f>
        <v>0</v>
      </c>
      <c r="E213" s="75">
        <f t="shared" si="102"/>
        <v>0</v>
      </c>
      <c r="F213" s="75">
        <f t="shared" si="102"/>
        <v>0</v>
      </c>
      <c r="G213" s="75">
        <f t="shared" si="102"/>
        <v>0</v>
      </c>
      <c r="H213" s="75">
        <f t="shared" si="102"/>
        <v>0</v>
      </c>
      <c r="I213" s="75">
        <f t="shared" si="102"/>
        <v>0</v>
      </c>
      <c r="J213" s="75">
        <f t="shared" si="102"/>
        <v>0</v>
      </c>
    </row>
    <row r="214" spans="1:10" hidden="1" x14ac:dyDescent="0.25">
      <c r="A214" s="22" t="s">
        <v>97</v>
      </c>
      <c r="B214" s="22" t="s">
        <v>51</v>
      </c>
      <c r="C214" s="84" t="s">
        <v>91</v>
      </c>
      <c r="D214" s="75">
        <f t="shared" ref="D214:J214" si="103">$L$32*D114</f>
        <v>0</v>
      </c>
      <c r="E214" s="75">
        <f t="shared" si="103"/>
        <v>0</v>
      </c>
      <c r="F214" s="75">
        <f t="shared" si="103"/>
        <v>0</v>
      </c>
      <c r="G214" s="75">
        <f t="shared" si="103"/>
        <v>0</v>
      </c>
      <c r="H214" s="75">
        <f t="shared" si="103"/>
        <v>0</v>
      </c>
      <c r="I214" s="75">
        <f t="shared" si="103"/>
        <v>0</v>
      </c>
      <c r="J214" s="75">
        <f t="shared" si="103"/>
        <v>0</v>
      </c>
    </row>
    <row r="215" spans="1:10" hidden="1" x14ac:dyDescent="0.25">
      <c r="A215" s="22" t="s">
        <v>97</v>
      </c>
      <c r="B215" s="22" t="s">
        <v>51</v>
      </c>
      <c r="C215" s="84" t="s">
        <v>92</v>
      </c>
      <c r="D215" s="75">
        <f t="shared" ref="D215:J215" si="104">$L$33*D115</f>
        <v>0</v>
      </c>
      <c r="E215" s="75">
        <f t="shared" si="104"/>
        <v>0</v>
      </c>
      <c r="F215" s="75">
        <f t="shared" si="104"/>
        <v>0</v>
      </c>
      <c r="G215" s="75">
        <f t="shared" si="104"/>
        <v>0</v>
      </c>
      <c r="H215" s="75">
        <f t="shared" si="104"/>
        <v>0</v>
      </c>
      <c r="I215" s="75">
        <f t="shared" si="104"/>
        <v>0</v>
      </c>
      <c r="J215" s="75">
        <f t="shared" si="104"/>
        <v>0</v>
      </c>
    </row>
    <row r="216" spans="1:10" hidden="1" x14ac:dyDescent="0.25">
      <c r="A216" s="22" t="s">
        <v>97</v>
      </c>
      <c r="B216" s="22" t="s">
        <v>51</v>
      </c>
      <c r="C216" s="84" t="s">
        <v>93</v>
      </c>
      <c r="D216" s="75">
        <f t="shared" ref="D216:J216" si="105">$L$34*D116</f>
        <v>0</v>
      </c>
      <c r="E216" s="75">
        <f t="shared" si="105"/>
        <v>0</v>
      </c>
      <c r="F216" s="75">
        <f t="shared" si="105"/>
        <v>0</v>
      </c>
      <c r="G216" s="75">
        <f t="shared" si="105"/>
        <v>0</v>
      </c>
      <c r="H216" s="75">
        <f t="shared" si="105"/>
        <v>0</v>
      </c>
      <c r="I216" s="75">
        <f t="shared" si="105"/>
        <v>0</v>
      </c>
      <c r="J216" s="75">
        <f t="shared" si="105"/>
        <v>0</v>
      </c>
    </row>
    <row r="217" spans="1:10" hidden="1" x14ac:dyDescent="0.25">
      <c r="A217" s="22" t="s">
        <v>97</v>
      </c>
      <c r="B217" s="22" t="s">
        <v>51</v>
      </c>
      <c r="C217" s="84" t="s">
        <v>94</v>
      </c>
      <c r="D217" s="75">
        <f t="shared" ref="D217:J217" si="106">$L$35*D117</f>
        <v>0</v>
      </c>
      <c r="E217" s="75">
        <f t="shared" si="106"/>
        <v>0</v>
      </c>
      <c r="F217" s="75">
        <f t="shared" si="106"/>
        <v>0</v>
      </c>
      <c r="G217" s="75">
        <f t="shared" si="106"/>
        <v>0</v>
      </c>
      <c r="H217" s="75">
        <f t="shared" si="106"/>
        <v>0</v>
      </c>
      <c r="I217" s="75">
        <f t="shared" si="106"/>
        <v>0</v>
      </c>
      <c r="J217" s="75">
        <f t="shared" si="106"/>
        <v>0</v>
      </c>
    </row>
    <row r="218" spans="1:10" hidden="1" x14ac:dyDescent="0.25">
      <c r="A218" s="22" t="s">
        <v>97</v>
      </c>
      <c r="B218" s="22" t="s">
        <v>51</v>
      </c>
      <c r="C218" s="84" t="s">
        <v>95</v>
      </c>
      <c r="D218" s="75">
        <f t="shared" ref="D218:J218" si="107">$L$36*D118</f>
        <v>0</v>
      </c>
      <c r="E218" s="75">
        <f t="shared" si="107"/>
        <v>0</v>
      </c>
      <c r="F218" s="75">
        <f t="shared" si="107"/>
        <v>0</v>
      </c>
      <c r="G218" s="75">
        <f t="shared" si="107"/>
        <v>0</v>
      </c>
      <c r="H218" s="75">
        <f t="shared" si="107"/>
        <v>0</v>
      </c>
      <c r="I218" s="75">
        <f t="shared" si="107"/>
        <v>0</v>
      </c>
      <c r="J218" s="75">
        <f t="shared" si="107"/>
        <v>0</v>
      </c>
    </row>
    <row r="219" spans="1:10" hidden="1" x14ac:dyDescent="0.25">
      <c r="A219" s="22" t="s">
        <v>97</v>
      </c>
      <c r="B219" s="22" t="s">
        <v>51</v>
      </c>
      <c r="C219" s="84" t="s">
        <v>96</v>
      </c>
      <c r="D219" s="75">
        <f t="shared" ref="D219:J219" si="108">$L$37*D119</f>
        <v>0</v>
      </c>
      <c r="E219" s="75">
        <f t="shared" si="108"/>
        <v>0</v>
      </c>
      <c r="F219" s="75">
        <f t="shared" si="108"/>
        <v>0</v>
      </c>
      <c r="G219" s="75">
        <f t="shared" si="108"/>
        <v>0</v>
      </c>
      <c r="H219" s="75">
        <f t="shared" si="108"/>
        <v>0</v>
      </c>
      <c r="I219" s="75">
        <f t="shared" si="108"/>
        <v>0</v>
      </c>
      <c r="J219" s="75">
        <f t="shared" si="108"/>
        <v>0</v>
      </c>
    </row>
    <row r="220" spans="1:10" hidden="1" x14ac:dyDescent="0.25">
      <c r="A220" s="22" t="s">
        <v>101</v>
      </c>
      <c r="B220" s="22" t="s">
        <v>50</v>
      </c>
      <c r="C220" s="84" t="s">
        <v>66</v>
      </c>
      <c r="D220" s="75">
        <f t="shared" ref="D220:J220" si="109">$L$7*D120</f>
        <v>0</v>
      </c>
      <c r="E220" s="75">
        <f t="shared" si="109"/>
        <v>0</v>
      </c>
      <c r="F220" s="75">
        <f t="shared" si="109"/>
        <v>0</v>
      </c>
      <c r="G220" s="75">
        <f t="shared" si="109"/>
        <v>0</v>
      </c>
      <c r="H220" s="75">
        <f t="shared" si="109"/>
        <v>0</v>
      </c>
      <c r="I220" s="75">
        <f t="shared" si="109"/>
        <v>0</v>
      </c>
      <c r="J220" s="75">
        <f t="shared" si="109"/>
        <v>0</v>
      </c>
    </row>
    <row r="221" spans="1:10" hidden="1" x14ac:dyDescent="0.25">
      <c r="A221" s="22" t="s">
        <v>101</v>
      </c>
      <c r="B221" s="22" t="s">
        <v>50</v>
      </c>
      <c r="C221" s="84" t="s">
        <v>67</v>
      </c>
      <c r="D221" s="75">
        <f t="shared" ref="D221:J221" si="110">$L$8*D121</f>
        <v>0</v>
      </c>
      <c r="E221" s="75">
        <f t="shared" si="110"/>
        <v>0</v>
      </c>
      <c r="F221" s="75">
        <f t="shared" si="110"/>
        <v>0</v>
      </c>
      <c r="G221" s="75">
        <f t="shared" si="110"/>
        <v>0</v>
      </c>
      <c r="H221" s="75">
        <f t="shared" si="110"/>
        <v>0</v>
      </c>
      <c r="I221" s="75">
        <f t="shared" si="110"/>
        <v>0</v>
      </c>
      <c r="J221" s="75">
        <f t="shared" si="110"/>
        <v>0</v>
      </c>
    </row>
    <row r="222" spans="1:10" hidden="1" x14ac:dyDescent="0.25">
      <c r="A222" s="22" t="s">
        <v>101</v>
      </c>
      <c r="B222" s="22" t="s">
        <v>50</v>
      </c>
      <c r="C222" s="84" t="s">
        <v>68</v>
      </c>
      <c r="D222" s="75">
        <f t="shared" ref="D222:J222" si="111">$L$9*D122</f>
        <v>0</v>
      </c>
      <c r="E222" s="75">
        <f t="shared" si="111"/>
        <v>0</v>
      </c>
      <c r="F222" s="75">
        <f t="shared" si="111"/>
        <v>0</v>
      </c>
      <c r="G222" s="75">
        <f t="shared" si="111"/>
        <v>0</v>
      </c>
      <c r="H222" s="75">
        <f t="shared" si="111"/>
        <v>0</v>
      </c>
      <c r="I222" s="75">
        <f t="shared" si="111"/>
        <v>0</v>
      </c>
      <c r="J222" s="75">
        <f t="shared" si="111"/>
        <v>0</v>
      </c>
    </row>
    <row r="223" spans="1:10" hidden="1" x14ac:dyDescent="0.25">
      <c r="A223" s="22" t="s">
        <v>101</v>
      </c>
      <c r="B223" s="22" t="s">
        <v>50</v>
      </c>
      <c r="C223" s="84" t="s">
        <v>69</v>
      </c>
      <c r="D223" s="75">
        <f t="shared" ref="D223:J223" si="112">$L$10*D123</f>
        <v>0</v>
      </c>
      <c r="E223" s="75">
        <f t="shared" si="112"/>
        <v>0</v>
      </c>
      <c r="F223" s="75">
        <f t="shared" si="112"/>
        <v>0</v>
      </c>
      <c r="G223" s="75">
        <f t="shared" si="112"/>
        <v>0</v>
      </c>
      <c r="H223" s="75">
        <f t="shared" si="112"/>
        <v>0</v>
      </c>
      <c r="I223" s="75">
        <f t="shared" si="112"/>
        <v>0</v>
      </c>
      <c r="J223" s="75">
        <f t="shared" si="112"/>
        <v>0</v>
      </c>
    </row>
    <row r="224" spans="1:10" hidden="1" x14ac:dyDescent="0.25">
      <c r="A224" s="22" t="s">
        <v>101</v>
      </c>
      <c r="B224" s="22" t="s">
        <v>50</v>
      </c>
      <c r="C224" s="84" t="s">
        <v>70</v>
      </c>
      <c r="D224" s="75">
        <f t="shared" ref="D224:J224" si="113">$L$11*D124</f>
        <v>0</v>
      </c>
      <c r="E224" s="75">
        <f t="shared" si="113"/>
        <v>0</v>
      </c>
      <c r="F224" s="75">
        <f t="shared" si="113"/>
        <v>0</v>
      </c>
      <c r="G224" s="75">
        <f t="shared" si="113"/>
        <v>0</v>
      </c>
      <c r="H224" s="75">
        <f t="shared" si="113"/>
        <v>0</v>
      </c>
      <c r="I224" s="75">
        <f t="shared" si="113"/>
        <v>0</v>
      </c>
      <c r="J224" s="75">
        <f t="shared" si="113"/>
        <v>0</v>
      </c>
    </row>
    <row r="225" spans="1:10" hidden="1" x14ac:dyDescent="0.25">
      <c r="A225" s="22" t="s">
        <v>101</v>
      </c>
      <c r="B225" s="22" t="s">
        <v>50</v>
      </c>
      <c r="C225" s="84" t="s">
        <v>71</v>
      </c>
      <c r="D225" s="75">
        <f t="shared" ref="D225:J225" si="114">$L$12*D125</f>
        <v>0</v>
      </c>
      <c r="E225" s="75">
        <f t="shared" si="114"/>
        <v>0</v>
      </c>
      <c r="F225" s="75">
        <f t="shared" si="114"/>
        <v>0</v>
      </c>
      <c r="G225" s="75">
        <f t="shared" si="114"/>
        <v>0</v>
      </c>
      <c r="H225" s="75">
        <f t="shared" si="114"/>
        <v>0</v>
      </c>
      <c r="I225" s="75">
        <f t="shared" si="114"/>
        <v>0</v>
      </c>
      <c r="J225" s="75">
        <f t="shared" si="114"/>
        <v>0</v>
      </c>
    </row>
    <row r="226" spans="1:10" hidden="1" x14ac:dyDescent="0.25">
      <c r="A226" s="22" t="s">
        <v>101</v>
      </c>
      <c r="B226" s="22" t="s">
        <v>50</v>
      </c>
      <c r="C226" s="84" t="s">
        <v>72</v>
      </c>
      <c r="D226" s="75">
        <f t="shared" ref="D226:J226" si="115">$L$13*D126</f>
        <v>0</v>
      </c>
      <c r="E226" s="75">
        <f t="shared" si="115"/>
        <v>0</v>
      </c>
      <c r="F226" s="75">
        <f t="shared" si="115"/>
        <v>0</v>
      </c>
      <c r="G226" s="75">
        <f t="shared" si="115"/>
        <v>0</v>
      </c>
      <c r="H226" s="75">
        <f t="shared" si="115"/>
        <v>0</v>
      </c>
      <c r="I226" s="75">
        <f t="shared" si="115"/>
        <v>0</v>
      </c>
      <c r="J226" s="75">
        <f t="shared" si="115"/>
        <v>0</v>
      </c>
    </row>
    <row r="227" spans="1:10" hidden="1" x14ac:dyDescent="0.25">
      <c r="A227" s="22" t="s">
        <v>101</v>
      </c>
      <c r="B227" s="22" t="s">
        <v>52</v>
      </c>
      <c r="C227" s="84" t="s">
        <v>73</v>
      </c>
      <c r="D227" s="75">
        <f t="shared" ref="D227:J227" si="116">$L$14*D127</f>
        <v>0</v>
      </c>
      <c r="E227" s="75">
        <f t="shared" si="116"/>
        <v>0</v>
      </c>
      <c r="F227" s="75">
        <f t="shared" si="116"/>
        <v>0</v>
      </c>
      <c r="G227" s="75">
        <f t="shared" si="116"/>
        <v>0</v>
      </c>
      <c r="H227" s="75">
        <f t="shared" si="116"/>
        <v>0</v>
      </c>
      <c r="I227" s="75">
        <f t="shared" si="116"/>
        <v>0</v>
      </c>
      <c r="J227" s="75">
        <f t="shared" si="116"/>
        <v>0</v>
      </c>
    </row>
    <row r="228" spans="1:10" hidden="1" x14ac:dyDescent="0.25">
      <c r="A228" s="22" t="s">
        <v>101</v>
      </c>
      <c r="B228" s="22" t="s">
        <v>52</v>
      </c>
      <c r="C228" s="84" t="s">
        <v>74</v>
      </c>
      <c r="D228" s="75">
        <f t="shared" ref="D228:J228" si="117">$L$15*D128</f>
        <v>0</v>
      </c>
      <c r="E228" s="75">
        <f t="shared" si="117"/>
        <v>0</v>
      </c>
      <c r="F228" s="75">
        <f t="shared" si="117"/>
        <v>0</v>
      </c>
      <c r="G228" s="75">
        <f t="shared" si="117"/>
        <v>0</v>
      </c>
      <c r="H228" s="75">
        <f t="shared" si="117"/>
        <v>0</v>
      </c>
      <c r="I228" s="75">
        <f t="shared" si="117"/>
        <v>0</v>
      </c>
      <c r="J228" s="75">
        <f t="shared" si="117"/>
        <v>0</v>
      </c>
    </row>
    <row r="229" spans="1:10" hidden="1" x14ac:dyDescent="0.25">
      <c r="A229" s="22" t="s">
        <v>101</v>
      </c>
      <c r="B229" s="22" t="s">
        <v>52</v>
      </c>
      <c r="C229" s="84" t="s">
        <v>75</v>
      </c>
      <c r="D229" s="75">
        <f t="shared" ref="D229:J229" si="118">$L$16*D129</f>
        <v>0</v>
      </c>
      <c r="E229" s="75">
        <f t="shared" si="118"/>
        <v>0</v>
      </c>
      <c r="F229" s="75">
        <f t="shared" si="118"/>
        <v>0</v>
      </c>
      <c r="G229" s="75">
        <f t="shared" si="118"/>
        <v>0</v>
      </c>
      <c r="H229" s="75">
        <f t="shared" si="118"/>
        <v>0</v>
      </c>
      <c r="I229" s="75">
        <f t="shared" si="118"/>
        <v>0</v>
      </c>
      <c r="J229" s="75">
        <f t="shared" si="118"/>
        <v>0</v>
      </c>
    </row>
    <row r="230" spans="1:10" hidden="1" x14ac:dyDescent="0.25">
      <c r="A230" s="22" t="s">
        <v>101</v>
      </c>
      <c r="B230" s="22" t="s">
        <v>52</v>
      </c>
      <c r="C230" s="84" t="s">
        <v>76</v>
      </c>
      <c r="D230" s="75">
        <f t="shared" ref="D230:J230" si="119">$L$17*D130</f>
        <v>0</v>
      </c>
      <c r="E230" s="75">
        <f t="shared" si="119"/>
        <v>0</v>
      </c>
      <c r="F230" s="75">
        <f t="shared" si="119"/>
        <v>0</v>
      </c>
      <c r="G230" s="75">
        <f t="shared" si="119"/>
        <v>0</v>
      </c>
      <c r="H230" s="75">
        <f t="shared" si="119"/>
        <v>0</v>
      </c>
      <c r="I230" s="75">
        <f t="shared" si="119"/>
        <v>0</v>
      </c>
      <c r="J230" s="75">
        <f t="shared" si="119"/>
        <v>0</v>
      </c>
    </row>
    <row r="231" spans="1:10" hidden="1" x14ac:dyDescent="0.25">
      <c r="A231" s="22" t="s">
        <v>101</v>
      </c>
      <c r="B231" s="22" t="s">
        <v>52</v>
      </c>
      <c r="C231" s="84" t="s">
        <v>77</v>
      </c>
      <c r="D231" s="75">
        <f t="shared" ref="D231:J231" si="120">$L$18*D131</f>
        <v>0</v>
      </c>
      <c r="E231" s="75">
        <f t="shared" si="120"/>
        <v>0</v>
      </c>
      <c r="F231" s="75">
        <f t="shared" si="120"/>
        <v>0</v>
      </c>
      <c r="G231" s="75">
        <f t="shared" si="120"/>
        <v>0</v>
      </c>
      <c r="H231" s="75">
        <f t="shared" si="120"/>
        <v>0</v>
      </c>
      <c r="I231" s="75">
        <f t="shared" si="120"/>
        <v>0</v>
      </c>
      <c r="J231" s="75">
        <f t="shared" si="120"/>
        <v>0</v>
      </c>
    </row>
    <row r="232" spans="1:10" hidden="1" x14ac:dyDescent="0.25">
      <c r="A232" s="22" t="s">
        <v>101</v>
      </c>
      <c r="B232" s="22" t="s">
        <v>52</v>
      </c>
      <c r="C232" s="84" t="s">
        <v>78</v>
      </c>
      <c r="D232" s="75">
        <f t="shared" ref="D232:J232" si="121">$L$19*D132</f>
        <v>0</v>
      </c>
      <c r="E232" s="75">
        <f t="shared" si="121"/>
        <v>0</v>
      </c>
      <c r="F232" s="75">
        <f t="shared" si="121"/>
        <v>0</v>
      </c>
      <c r="G232" s="75">
        <f t="shared" si="121"/>
        <v>0</v>
      </c>
      <c r="H232" s="75">
        <f t="shared" si="121"/>
        <v>0</v>
      </c>
      <c r="I232" s="75">
        <f t="shared" si="121"/>
        <v>0</v>
      </c>
      <c r="J232" s="75">
        <f t="shared" si="121"/>
        <v>0</v>
      </c>
    </row>
    <row r="233" spans="1:10" hidden="1" x14ac:dyDescent="0.25">
      <c r="A233" s="22" t="s">
        <v>101</v>
      </c>
      <c r="B233" s="22" t="s">
        <v>53</v>
      </c>
      <c r="C233" s="84" t="s">
        <v>79</v>
      </c>
      <c r="D233" s="75">
        <f t="shared" ref="D233:J233" si="122">$L$20*D133</f>
        <v>0</v>
      </c>
      <c r="E233" s="75">
        <f t="shared" si="122"/>
        <v>0</v>
      </c>
      <c r="F233" s="75">
        <f t="shared" si="122"/>
        <v>0</v>
      </c>
      <c r="G233" s="75">
        <f t="shared" si="122"/>
        <v>0</v>
      </c>
      <c r="H233" s="75">
        <f t="shared" si="122"/>
        <v>0</v>
      </c>
      <c r="I233" s="75">
        <f t="shared" si="122"/>
        <v>0</v>
      </c>
      <c r="J233" s="75">
        <f t="shared" si="122"/>
        <v>0</v>
      </c>
    </row>
    <row r="234" spans="1:10" hidden="1" x14ac:dyDescent="0.25">
      <c r="A234" s="22" t="s">
        <v>101</v>
      </c>
      <c r="B234" s="22" t="s">
        <v>53</v>
      </c>
      <c r="C234" s="84" t="s">
        <v>80</v>
      </c>
      <c r="D234" s="75">
        <f t="shared" ref="D234:J234" si="123">$L$21*D134</f>
        <v>0</v>
      </c>
      <c r="E234" s="75">
        <f t="shared" si="123"/>
        <v>0</v>
      </c>
      <c r="F234" s="75">
        <f t="shared" si="123"/>
        <v>0</v>
      </c>
      <c r="G234" s="75">
        <f t="shared" si="123"/>
        <v>0</v>
      </c>
      <c r="H234" s="75">
        <f t="shared" si="123"/>
        <v>0</v>
      </c>
      <c r="I234" s="75">
        <f t="shared" si="123"/>
        <v>0</v>
      </c>
      <c r="J234" s="75">
        <f t="shared" si="123"/>
        <v>0</v>
      </c>
    </row>
    <row r="235" spans="1:10" hidden="1" x14ac:dyDescent="0.25">
      <c r="A235" s="22" t="s">
        <v>101</v>
      </c>
      <c r="B235" s="22" t="s">
        <v>53</v>
      </c>
      <c r="C235" s="84" t="s">
        <v>81</v>
      </c>
      <c r="D235" s="75">
        <f t="shared" ref="D235:J235" si="124">$L$22*D135</f>
        <v>0</v>
      </c>
      <c r="E235" s="75">
        <f t="shared" si="124"/>
        <v>0</v>
      </c>
      <c r="F235" s="75">
        <f t="shared" si="124"/>
        <v>0</v>
      </c>
      <c r="G235" s="75">
        <f t="shared" si="124"/>
        <v>0</v>
      </c>
      <c r="H235" s="75">
        <f t="shared" si="124"/>
        <v>0</v>
      </c>
      <c r="I235" s="75">
        <f t="shared" si="124"/>
        <v>0</v>
      </c>
      <c r="J235" s="75">
        <f t="shared" si="124"/>
        <v>0</v>
      </c>
    </row>
    <row r="236" spans="1:10" hidden="1" x14ac:dyDescent="0.25">
      <c r="A236" s="22" t="s">
        <v>101</v>
      </c>
      <c r="B236" s="22" t="s">
        <v>53</v>
      </c>
      <c r="C236" s="84" t="s">
        <v>82</v>
      </c>
      <c r="D236" s="75">
        <f t="shared" ref="D236:J236" si="125">$L$23*D136</f>
        <v>0</v>
      </c>
      <c r="E236" s="75">
        <f t="shared" si="125"/>
        <v>0</v>
      </c>
      <c r="F236" s="75">
        <f t="shared" si="125"/>
        <v>0</v>
      </c>
      <c r="G236" s="75">
        <f t="shared" si="125"/>
        <v>0</v>
      </c>
      <c r="H236" s="75">
        <f t="shared" si="125"/>
        <v>0</v>
      </c>
      <c r="I236" s="75">
        <f t="shared" si="125"/>
        <v>0</v>
      </c>
      <c r="J236" s="75">
        <f t="shared" si="125"/>
        <v>0</v>
      </c>
    </row>
    <row r="237" spans="1:10" hidden="1" x14ac:dyDescent="0.25">
      <c r="A237" s="22" t="s">
        <v>101</v>
      </c>
      <c r="B237" s="22" t="s">
        <v>53</v>
      </c>
      <c r="C237" s="84" t="s">
        <v>83</v>
      </c>
      <c r="D237" s="75">
        <f t="shared" ref="D237:J237" si="126">$L$24*D137</f>
        <v>0</v>
      </c>
      <c r="E237" s="75">
        <f t="shared" si="126"/>
        <v>0</v>
      </c>
      <c r="F237" s="75">
        <f t="shared" si="126"/>
        <v>0</v>
      </c>
      <c r="G237" s="75">
        <f t="shared" si="126"/>
        <v>0</v>
      </c>
      <c r="H237" s="75">
        <f t="shared" si="126"/>
        <v>0</v>
      </c>
      <c r="I237" s="75">
        <f t="shared" si="126"/>
        <v>0</v>
      </c>
      <c r="J237" s="75">
        <f t="shared" si="126"/>
        <v>0</v>
      </c>
    </row>
    <row r="238" spans="1:10" hidden="1" x14ac:dyDescent="0.25">
      <c r="A238" s="22" t="s">
        <v>101</v>
      </c>
      <c r="B238" s="22" t="s">
        <v>53</v>
      </c>
      <c r="C238" s="84" t="s">
        <v>84</v>
      </c>
      <c r="D238" s="75">
        <f t="shared" ref="D238:J238" si="127">$L$25*D138</f>
        <v>0</v>
      </c>
      <c r="E238" s="75">
        <f t="shared" si="127"/>
        <v>0</v>
      </c>
      <c r="F238" s="75">
        <f t="shared" si="127"/>
        <v>0</v>
      </c>
      <c r="G238" s="75">
        <f t="shared" si="127"/>
        <v>0</v>
      </c>
      <c r="H238" s="75">
        <f t="shared" si="127"/>
        <v>0</v>
      </c>
      <c r="I238" s="75">
        <f t="shared" si="127"/>
        <v>0</v>
      </c>
      <c r="J238" s="75">
        <f t="shared" si="127"/>
        <v>0</v>
      </c>
    </row>
    <row r="239" spans="1:10" hidden="1" x14ac:dyDescent="0.25">
      <c r="A239" s="22" t="s">
        <v>101</v>
      </c>
      <c r="B239" s="22" t="s">
        <v>53</v>
      </c>
      <c r="C239" s="84" t="s">
        <v>85</v>
      </c>
      <c r="D239" s="75">
        <f t="shared" ref="D239:J239" si="128">$L$26*D139</f>
        <v>0</v>
      </c>
      <c r="E239" s="75">
        <f t="shared" si="128"/>
        <v>0</v>
      </c>
      <c r="F239" s="75">
        <f t="shared" si="128"/>
        <v>0</v>
      </c>
      <c r="G239" s="75">
        <f t="shared" si="128"/>
        <v>0</v>
      </c>
      <c r="H239" s="75">
        <f t="shared" si="128"/>
        <v>0</v>
      </c>
      <c r="I239" s="75">
        <f t="shared" si="128"/>
        <v>0</v>
      </c>
      <c r="J239" s="75">
        <f t="shared" si="128"/>
        <v>0</v>
      </c>
    </row>
    <row r="240" spans="1:10" hidden="1" x14ac:dyDescent="0.25">
      <c r="A240" s="22" t="s">
        <v>101</v>
      </c>
      <c r="B240" s="22" t="s">
        <v>51</v>
      </c>
      <c r="C240" s="84" t="s">
        <v>86</v>
      </c>
      <c r="D240" s="75">
        <f t="shared" ref="D240:J240" si="129">$L$27*D140</f>
        <v>0</v>
      </c>
      <c r="E240" s="75">
        <f t="shared" si="129"/>
        <v>0</v>
      </c>
      <c r="F240" s="75">
        <f t="shared" si="129"/>
        <v>0</v>
      </c>
      <c r="G240" s="75">
        <f t="shared" si="129"/>
        <v>0</v>
      </c>
      <c r="H240" s="75">
        <f t="shared" si="129"/>
        <v>0</v>
      </c>
      <c r="I240" s="75">
        <f t="shared" si="129"/>
        <v>0</v>
      </c>
      <c r="J240" s="75">
        <f t="shared" si="129"/>
        <v>0</v>
      </c>
    </row>
    <row r="241" spans="1:10" hidden="1" x14ac:dyDescent="0.25">
      <c r="A241" s="22" t="s">
        <v>101</v>
      </c>
      <c r="B241" s="22" t="s">
        <v>51</v>
      </c>
      <c r="C241" s="84" t="s">
        <v>87</v>
      </c>
      <c r="D241" s="75">
        <f t="shared" ref="D241:J241" si="130">$L$28*D141</f>
        <v>0</v>
      </c>
      <c r="E241" s="75">
        <f t="shared" si="130"/>
        <v>0</v>
      </c>
      <c r="F241" s="75">
        <f t="shared" si="130"/>
        <v>0</v>
      </c>
      <c r="G241" s="75">
        <f t="shared" si="130"/>
        <v>0</v>
      </c>
      <c r="H241" s="75">
        <f t="shared" si="130"/>
        <v>0</v>
      </c>
      <c r="I241" s="75">
        <f t="shared" si="130"/>
        <v>0</v>
      </c>
      <c r="J241" s="75">
        <f t="shared" si="130"/>
        <v>0</v>
      </c>
    </row>
    <row r="242" spans="1:10" hidden="1" x14ac:dyDescent="0.25">
      <c r="A242" s="22" t="s">
        <v>101</v>
      </c>
      <c r="B242" s="22" t="s">
        <v>51</v>
      </c>
      <c r="C242" s="84" t="s">
        <v>88</v>
      </c>
      <c r="D242" s="75">
        <f t="shared" ref="D242:J242" si="131">$L$29*D142</f>
        <v>0</v>
      </c>
      <c r="E242" s="75">
        <f t="shared" si="131"/>
        <v>0</v>
      </c>
      <c r="F242" s="75">
        <f t="shared" si="131"/>
        <v>0</v>
      </c>
      <c r="G242" s="75">
        <f t="shared" si="131"/>
        <v>0</v>
      </c>
      <c r="H242" s="75">
        <f t="shared" si="131"/>
        <v>0</v>
      </c>
      <c r="I242" s="75">
        <f t="shared" si="131"/>
        <v>0</v>
      </c>
      <c r="J242" s="75">
        <f t="shared" si="131"/>
        <v>0</v>
      </c>
    </row>
    <row r="243" spans="1:10" hidden="1" x14ac:dyDescent="0.25">
      <c r="A243" s="22" t="s">
        <v>101</v>
      </c>
      <c r="B243" s="22" t="s">
        <v>51</v>
      </c>
      <c r="C243" s="84" t="s">
        <v>89</v>
      </c>
      <c r="D243" s="75">
        <f t="shared" ref="D243:J243" si="132">$L$30*D143</f>
        <v>0</v>
      </c>
      <c r="E243" s="75">
        <f t="shared" si="132"/>
        <v>0</v>
      </c>
      <c r="F243" s="75">
        <f t="shared" si="132"/>
        <v>0</v>
      </c>
      <c r="G243" s="75">
        <f t="shared" si="132"/>
        <v>0</v>
      </c>
      <c r="H243" s="75">
        <f t="shared" si="132"/>
        <v>0</v>
      </c>
      <c r="I243" s="75">
        <f t="shared" si="132"/>
        <v>0</v>
      </c>
      <c r="J243" s="75">
        <f t="shared" si="132"/>
        <v>0</v>
      </c>
    </row>
    <row r="244" spans="1:10" hidden="1" x14ac:dyDescent="0.25">
      <c r="A244" s="22" t="s">
        <v>101</v>
      </c>
      <c r="B244" s="22" t="s">
        <v>51</v>
      </c>
      <c r="C244" s="84" t="s">
        <v>90</v>
      </c>
      <c r="D244" s="75">
        <f t="shared" ref="D244:J244" si="133">$L$31*D144</f>
        <v>0</v>
      </c>
      <c r="E244" s="75">
        <f t="shared" si="133"/>
        <v>0</v>
      </c>
      <c r="F244" s="75">
        <f t="shared" si="133"/>
        <v>0</v>
      </c>
      <c r="G244" s="75">
        <f t="shared" si="133"/>
        <v>0</v>
      </c>
      <c r="H244" s="75">
        <f t="shared" si="133"/>
        <v>0</v>
      </c>
      <c r="I244" s="75">
        <f t="shared" si="133"/>
        <v>0</v>
      </c>
      <c r="J244" s="75">
        <f t="shared" si="133"/>
        <v>0</v>
      </c>
    </row>
    <row r="245" spans="1:10" hidden="1" x14ac:dyDescent="0.25">
      <c r="A245" s="22" t="s">
        <v>101</v>
      </c>
      <c r="B245" s="22" t="s">
        <v>51</v>
      </c>
      <c r="C245" s="84" t="s">
        <v>91</v>
      </c>
      <c r="D245" s="75">
        <f t="shared" ref="D245:J245" si="134">$L$32*D145</f>
        <v>0</v>
      </c>
      <c r="E245" s="75">
        <f t="shared" si="134"/>
        <v>0</v>
      </c>
      <c r="F245" s="75">
        <f t="shared" si="134"/>
        <v>0</v>
      </c>
      <c r="G245" s="75">
        <f t="shared" si="134"/>
        <v>0</v>
      </c>
      <c r="H245" s="75">
        <f t="shared" si="134"/>
        <v>0</v>
      </c>
      <c r="I245" s="75">
        <f t="shared" si="134"/>
        <v>0</v>
      </c>
      <c r="J245" s="75">
        <f t="shared" si="134"/>
        <v>0</v>
      </c>
    </row>
    <row r="246" spans="1:10" hidden="1" x14ac:dyDescent="0.25">
      <c r="A246" s="22" t="s">
        <v>101</v>
      </c>
      <c r="B246" s="22" t="s">
        <v>51</v>
      </c>
      <c r="C246" s="84" t="s">
        <v>92</v>
      </c>
      <c r="D246" s="75">
        <f t="shared" ref="D246:J246" si="135">$L$33*D146</f>
        <v>0</v>
      </c>
      <c r="E246" s="75">
        <f t="shared" si="135"/>
        <v>0</v>
      </c>
      <c r="F246" s="75">
        <f t="shared" si="135"/>
        <v>0</v>
      </c>
      <c r="G246" s="75">
        <f t="shared" si="135"/>
        <v>0</v>
      </c>
      <c r="H246" s="75">
        <f t="shared" si="135"/>
        <v>0</v>
      </c>
      <c r="I246" s="75">
        <f t="shared" si="135"/>
        <v>0</v>
      </c>
      <c r="J246" s="75">
        <f t="shared" si="135"/>
        <v>0</v>
      </c>
    </row>
    <row r="247" spans="1:10" hidden="1" x14ac:dyDescent="0.25">
      <c r="A247" s="22" t="s">
        <v>101</v>
      </c>
      <c r="B247" s="22" t="s">
        <v>51</v>
      </c>
      <c r="C247" s="84" t="s">
        <v>93</v>
      </c>
      <c r="D247" s="75">
        <f t="shared" ref="D247:J247" si="136">$L$34*D147</f>
        <v>0</v>
      </c>
      <c r="E247" s="75">
        <f t="shared" si="136"/>
        <v>0</v>
      </c>
      <c r="F247" s="75">
        <f t="shared" si="136"/>
        <v>0</v>
      </c>
      <c r="G247" s="75">
        <f t="shared" si="136"/>
        <v>0</v>
      </c>
      <c r="H247" s="75">
        <f t="shared" si="136"/>
        <v>0</v>
      </c>
      <c r="I247" s="75">
        <f t="shared" si="136"/>
        <v>0</v>
      </c>
      <c r="J247" s="75">
        <f t="shared" si="136"/>
        <v>0</v>
      </c>
    </row>
    <row r="248" spans="1:10" hidden="1" x14ac:dyDescent="0.25">
      <c r="A248" s="22" t="s">
        <v>101</v>
      </c>
      <c r="B248" s="22" t="s">
        <v>51</v>
      </c>
      <c r="C248" s="84" t="s">
        <v>94</v>
      </c>
      <c r="D248" s="75">
        <f t="shared" ref="D248:J248" si="137">$L$35*D148</f>
        <v>0</v>
      </c>
      <c r="E248" s="75">
        <f t="shared" si="137"/>
        <v>0</v>
      </c>
      <c r="F248" s="75">
        <f t="shared" si="137"/>
        <v>0</v>
      </c>
      <c r="G248" s="75">
        <f t="shared" si="137"/>
        <v>0</v>
      </c>
      <c r="H248" s="75">
        <f t="shared" si="137"/>
        <v>0</v>
      </c>
      <c r="I248" s="75">
        <f t="shared" si="137"/>
        <v>0</v>
      </c>
      <c r="J248" s="75">
        <f t="shared" si="137"/>
        <v>0</v>
      </c>
    </row>
    <row r="249" spans="1:10" hidden="1" x14ac:dyDescent="0.25">
      <c r="A249" s="22" t="s">
        <v>101</v>
      </c>
      <c r="B249" s="22" t="s">
        <v>51</v>
      </c>
      <c r="C249" s="84" t="s">
        <v>95</v>
      </c>
      <c r="D249" s="75">
        <f t="shared" ref="D249:J249" si="138">$L$36*D149</f>
        <v>0</v>
      </c>
      <c r="E249" s="75">
        <f t="shared" si="138"/>
        <v>0</v>
      </c>
      <c r="F249" s="75">
        <f t="shared" si="138"/>
        <v>0</v>
      </c>
      <c r="G249" s="75">
        <f t="shared" si="138"/>
        <v>0</v>
      </c>
      <c r="H249" s="75">
        <f t="shared" si="138"/>
        <v>0</v>
      </c>
      <c r="I249" s="75">
        <f t="shared" si="138"/>
        <v>0</v>
      </c>
      <c r="J249" s="75">
        <f t="shared" si="138"/>
        <v>0</v>
      </c>
    </row>
    <row r="250" spans="1:10" hidden="1" x14ac:dyDescent="0.25">
      <c r="A250" s="22" t="s">
        <v>101</v>
      </c>
      <c r="B250" s="22" t="s">
        <v>51</v>
      </c>
      <c r="C250" s="84" t="s">
        <v>96</v>
      </c>
      <c r="D250" s="75">
        <f t="shared" ref="D250:J250" si="139">$L$37*D150</f>
        <v>0</v>
      </c>
      <c r="E250" s="75">
        <f t="shared" si="139"/>
        <v>0</v>
      </c>
      <c r="F250" s="75">
        <f t="shared" si="139"/>
        <v>0</v>
      </c>
      <c r="G250" s="75">
        <f t="shared" si="139"/>
        <v>0</v>
      </c>
      <c r="H250" s="75">
        <f t="shared" si="139"/>
        <v>0</v>
      </c>
      <c r="I250" s="75">
        <f t="shared" si="139"/>
        <v>0</v>
      </c>
      <c r="J250" s="75">
        <f t="shared" si="139"/>
        <v>0</v>
      </c>
    </row>
  </sheetData>
  <sheetProtection algorithmName="SHA-512" hashValue="0ufvfHes3PflOCm0f/OF1LGd9Ey8WSZGBWlZ1n6ik2C+GwXTbdbiH2WuHPSDYN1M8CERYETc0N6ps+qDg/l85w==" saltValue="hSBcnjA0ed4I40iiocV3mQ==" spinCount="100000" sheet="1" selectLockedCells="1"/>
  <mergeCells count="3">
    <mergeCell ref="B5:I5"/>
    <mergeCell ref="A1:A4"/>
    <mergeCell ref="B1:J4"/>
  </mergeCells>
  <pageMargins left="0.7" right="0.7" top="0.75" bottom="0.75" header="0.3" footer="0.3"/>
  <pageSetup orientation="landscape" r:id="rId1"/>
  <ignoredErrors>
    <ignoredError sqref="E48:I48 D52:I57 H49:I49 E46:I46 E47:I47 E50:I50 E51:I51" formulaRange="1"/>
    <ignoredError sqref="B8:D8 B9:D9 H9 B7:D7 F7:H7 F8:H8 F9" unlockedFormula="1"/>
    <ignoredError sqref="G9" formula="1" unlockedFormula="1"/>
    <ignoredError sqref="G13 G152:G154"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DC3-52C5-4E38-BE64-2C7F6966AB3D}">
  <dimension ref="A1"/>
  <sheetViews>
    <sheetView zoomScaleNormal="100" workbookViewId="0">
      <selection activeCell="J2" sqref="J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A8F5A-F3E8-4A30-A06E-20F9241D2133}">
  <sheetPr codeName="Sheet31"/>
  <dimension ref="B1:AJ70"/>
  <sheetViews>
    <sheetView zoomScaleNormal="100" workbookViewId="0">
      <selection activeCell="AM36" sqref="AM36"/>
    </sheetView>
  </sheetViews>
  <sheetFormatPr defaultColWidth="9.140625" defaultRowHeight="15" x14ac:dyDescent="0.25"/>
  <cols>
    <col min="1" max="1" width="9.140625" style="1"/>
    <col min="2" max="2" width="8" style="1" customWidth="1"/>
    <col min="3" max="3" width="12.140625" style="1" customWidth="1"/>
    <col min="4" max="13" width="9.140625" style="1"/>
    <col min="14" max="14" width="9.85546875" style="1" customWidth="1"/>
    <col min="15" max="17" width="9.140625" style="1"/>
    <col min="18" max="18" width="8.140625" style="1" customWidth="1"/>
    <col min="19" max="33" width="9.140625" style="1"/>
    <col min="34" max="34" width="14.5703125" style="1" bestFit="1" customWidth="1"/>
    <col min="35" max="35" width="10.42578125" style="1" bestFit="1" customWidth="1"/>
    <col min="36" max="36" width="12.85546875" style="1" customWidth="1"/>
    <col min="37" max="16384" width="9.140625" style="1"/>
  </cols>
  <sheetData>
    <row r="1" spans="2:36" x14ac:dyDescent="0.25">
      <c r="AJ1" s="1" t="s">
        <v>8</v>
      </c>
    </row>
    <row r="2" spans="2:36" x14ac:dyDescent="0.25">
      <c r="B2" s="1" t="s">
        <v>1</v>
      </c>
      <c r="C2" s="1" t="s">
        <v>0</v>
      </c>
      <c r="D2" s="1" t="s">
        <v>2</v>
      </c>
      <c r="E2" s="1" t="s">
        <v>3</v>
      </c>
      <c r="F2" s="1" t="s">
        <v>4</v>
      </c>
      <c r="G2" s="1" t="s">
        <v>5</v>
      </c>
      <c r="H2" s="1" t="s">
        <v>6</v>
      </c>
      <c r="I2" s="1" t="s">
        <v>6</v>
      </c>
      <c r="J2" s="1" t="s">
        <v>6</v>
      </c>
      <c r="K2" s="1" t="s">
        <v>6</v>
      </c>
      <c r="L2" s="1" t="s">
        <v>6</v>
      </c>
      <c r="M2" s="1" t="s">
        <v>6</v>
      </c>
      <c r="N2" s="1" t="s">
        <v>6</v>
      </c>
      <c r="O2" s="1" t="s">
        <v>6</v>
      </c>
      <c r="P2" s="1" t="s">
        <v>6</v>
      </c>
      <c r="Q2" s="1" t="s">
        <v>6</v>
      </c>
      <c r="R2" s="1" t="s">
        <v>6</v>
      </c>
      <c r="S2" s="1" t="s">
        <v>6</v>
      </c>
      <c r="T2" s="1" t="s">
        <v>7</v>
      </c>
      <c r="U2" s="1" t="s">
        <v>7</v>
      </c>
      <c r="V2" s="1" t="s">
        <v>7</v>
      </c>
      <c r="W2" s="1" t="s">
        <v>7</v>
      </c>
      <c r="X2" s="1" t="s">
        <v>7</v>
      </c>
      <c r="Y2" s="1" t="s">
        <v>7</v>
      </c>
      <c r="Z2" s="1" t="s">
        <v>7</v>
      </c>
      <c r="AA2" s="1" t="s">
        <v>7</v>
      </c>
      <c r="AB2" s="1" t="s">
        <v>7</v>
      </c>
      <c r="AC2" s="1" t="s">
        <v>7</v>
      </c>
      <c r="AD2" s="1" t="s">
        <v>7</v>
      </c>
      <c r="AE2" s="1" t="s">
        <v>7</v>
      </c>
      <c r="AF2" s="1" t="s">
        <v>9</v>
      </c>
      <c r="AG2" s="1" t="s">
        <v>7</v>
      </c>
      <c r="AI2" s="1">
        <v>2023</v>
      </c>
      <c r="AJ2" s="2" t="e">
        <f>#REF!</f>
        <v>#REF!</v>
      </c>
    </row>
    <row r="3" spans="2:36" x14ac:dyDescent="0.25">
      <c r="B3" s="2" t="e">
        <f>#REF!</f>
        <v>#REF!</v>
      </c>
      <c r="C3" s="2" t="e">
        <f>+#REF!</f>
        <v>#REF!</v>
      </c>
      <c r="D3" s="2"/>
      <c r="E3" s="2"/>
      <c r="F3" s="2"/>
      <c r="G3" s="2"/>
      <c r="AI3" s="1">
        <f t="shared" ref="AI3:AI8" si="0">AI2+1</f>
        <v>2024</v>
      </c>
      <c r="AJ3" s="2" t="e">
        <f>#REF!</f>
        <v>#REF!</v>
      </c>
    </row>
    <row r="4" spans="2:36" x14ac:dyDescent="0.25">
      <c r="B4" s="2" t="e">
        <f>#REF!</f>
        <v>#REF!</v>
      </c>
      <c r="C4" s="2" t="e">
        <f>+#REF!</f>
        <v>#REF!</v>
      </c>
      <c r="D4" s="2"/>
      <c r="E4" s="2"/>
      <c r="F4" s="2"/>
      <c r="G4" s="2"/>
      <c r="AI4" s="1">
        <f t="shared" si="0"/>
        <v>2025</v>
      </c>
      <c r="AJ4" s="2" t="e">
        <f>#REF!</f>
        <v>#REF!</v>
      </c>
    </row>
    <row r="5" spans="2:36" x14ac:dyDescent="0.25">
      <c r="B5" s="2" t="e">
        <f>#REF!</f>
        <v>#REF!</v>
      </c>
      <c r="C5" s="2" t="e">
        <f>+#REF!</f>
        <v>#REF!</v>
      </c>
      <c r="D5" s="2"/>
      <c r="E5" s="2"/>
      <c r="F5" s="2"/>
      <c r="G5" s="2"/>
      <c r="AI5" s="1">
        <f t="shared" si="0"/>
        <v>2026</v>
      </c>
      <c r="AJ5" s="2" t="e">
        <f>#REF!</f>
        <v>#REF!</v>
      </c>
    </row>
    <row r="6" spans="2:36" x14ac:dyDescent="0.25">
      <c r="B6" s="2" t="e">
        <f>#REF!</f>
        <v>#REF!</v>
      </c>
      <c r="C6" s="2" t="e">
        <f>+#REF!</f>
        <v>#REF!</v>
      </c>
      <c r="D6" s="2"/>
      <c r="E6" s="2"/>
      <c r="F6" s="2"/>
      <c r="G6" s="2"/>
      <c r="AI6" s="1">
        <f t="shared" si="0"/>
        <v>2027</v>
      </c>
      <c r="AJ6" s="2" t="e">
        <f>#REF!</f>
        <v>#REF!</v>
      </c>
    </row>
    <row r="7" spans="2:36" x14ac:dyDescent="0.25">
      <c r="B7" s="2" t="e">
        <f>#REF!</f>
        <v>#REF!</v>
      </c>
      <c r="C7" s="2" t="e">
        <f>+#REF!</f>
        <v>#REF!</v>
      </c>
      <c r="D7" s="2"/>
      <c r="E7" s="2"/>
      <c r="F7" s="2"/>
      <c r="G7" s="2"/>
      <c r="AI7" s="1">
        <f t="shared" si="0"/>
        <v>2028</v>
      </c>
      <c r="AJ7" s="2" t="e">
        <f>#REF!</f>
        <v>#REF!</v>
      </c>
    </row>
    <row r="8" spans="2:36" x14ac:dyDescent="0.25">
      <c r="B8" s="2" t="e">
        <f>#REF!</f>
        <v>#REF!</v>
      </c>
      <c r="C8" s="2" t="e">
        <f>+#REF!</f>
        <v>#REF!</v>
      </c>
      <c r="D8" s="2"/>
      <c r="E8" s="2"/>
      <c r="F8" s="2"/>
      <c r="G8" s="2"/>
      <c r="AI8" s="1">
        <f t="shared" si="0"/>
        <v>2029</v>
      </c>
      <c r="AJ8" s="2" t="e">
        <f>#REF!</f>
        <v>#REF!</v>
      </c>
    </row>
    <row r="9" spans="2:36" x14ac:dyDescent="0.25">
      <c r="B9" s="2" t="e">
        <f>#REF!</f>
        <v>#REF!</v>
      </c>
      <c r="C9" s="2" t="e">
        <f>+#REF!</f>
        <v>#REF!</v>
      </c>
      <c r="D9" s="2"/>
      <c r="E9" s="2"/>
      <c r="F9" s="2"/>
      <c r="G9" s="2"/>
    </row>
    <row r="10" spans="2:36" x14ac:dyDescent="0.25">
      <c r="B10" s="2" t="e">
        <f>B14</f>
        <v>#REF!</v>
      </c>
      <c r="C10" s="2"/>
      <c r="D10" s="5" t="e">
        <f>(#REF!/(#REF!+#REF!    *#REF!)     )*Graphs!B10</f>
        <v>#REF!</v>
      </c>
      <c r="E10" s="2"/>
      <c r="F10" s="2"/>
      <c r="G10" s="2"/>
    </row>
    <row r="11" spans="2:36" x14ac:dyDescent="0.25">
      <c r="B11" s="2" t="e">
        <f>#REF!</f>
        <v>#REF!</v>
      </c>
      <c r="C11" s="2"/>
      <c r="D11" s="5" t="e">
        <f>(#REF!/(#REF!+#REF!    *#REF!)     )*Graphs!B11</f>
        <v>#REF!</v>
      </c>
      <c r="E11" s="2"/>
      <c r="F11" s="2"/>
      <c r="G11" s="2"/>
    </row>
    <row r="12" spans="2:36" x14ac:dyDescent="0.25">
      <c r="B12" s="2" t="e">
        <f>B14</f>
        <v>#REF!</v>
      </c>
      <c r="C12" s="2"/>
      <c r="D12" s="2"/>
      <c r="E12" s="2" t="e">
        <f>B12*#REF!</f>
        <v>#REF!</v>
      </c>
      <c r="F12" s="2"/>
      <c r="G12" s="2"/>
    </row>
    <row r="13" spans="2:36" x14ac:dyDescent="0.25">
      <c r="B13" s="2" t="e">
        <f>B11</f>
        <v>#REF!</v>
      </c>
      <c r="E13" s="1" t="e">
        <f>B13*#REF!</f>
        <v>#REF!</v>
      </c>
    </row>
    <row r="14" spans="2:36" x14ac:dyDescent="0.25">
      <c r="B14" s="2" t="e">
        <f>#REF!</f>
        <v>#REF!</v>
      </c>
      <c r="F14" s="6" t="e">
        <f>(#REF!/(#REF!+#REF!    *#REF!)     )*Graphs!B14</f>
        <v>#REF!</v>
      </c>
    </row>
    <row r="15" spans="2:36" x14ac:dyDescent="0.25">
      <c r="B15" s="2" t="e">
        <f>B14</f>
        <v>#REF!</v>
      </c>
      <c r="F15" s="1" t="e">
        <f>B15*#REF!</f>
        <v>#REF!</v>
      </c>
    </row>
    <row r="16" spans="2:36" x14ac:dyDescent="0.25">
      <c r="B16" s="2" t="e">
        <f>B11</f>
        <v>#REF!</v>
      </c>
      <c r="G16" s="6" t="e">
        <f>(#REF!/(#REF!+#REF!    *#REF!)     )*Graphs!B16</f>
        <v>#REF!</v>
      </c>
    </row>
    <row r="17" spans="2:15" x14ac:dyDescent="0.25">
      <c r="B17" s="2" t="e">
        <f>B16</f>
        <v>#REF!</v>
      </c>
      <c r="G17" s="1" t="e">
        <f>B17*#REF!</f>
        <v>#REF!</v>
      </c>
    </row>
    <row r="18" spans="2:15" x14ac:dyDescent="0.25">
      <c r="B18" s="2" t="e">
        <f>B10</f>
        <v>#REF!</v>
      </c>
      <c r="H18" s="1" t="e">
        <f>(2+0*((#REF!-2)/12))*B18</f>
        <v>#REF!</v>
      </c>
    </row>
    <row r="19" spans="2:15" x14ac:dyDescent="0.25">
      <c r="B19" s="1" t="e">
        <f>B17*1.02</f>
        <v>#REF!</v>
      </c>
      <c r="H19" s="1" t="e">
        <f>(2+0*((#REF!-2)/12))*B19</f>
        <v>#REF!</v>
      </c>
    </row>
    <row r="20" spans="2:15" x14ac:dyDescent="0.25">
      <c r="B20" s="2" t="e">
        <f>B10</f>
        <v>#REF!</v>
      </c>
      <c r="I20" s="1" t="e">
        <f>(2+1*((#REF!-2)/12))*B20</f>
        <v>#REF!</v>
      </c>
    </row>
    <row r="21" spans="2:15" x14ac:dyDescent="0.25">
      <c r="B21" s="1" t="e">
        <f>B19</f>
        <v>#REF!</v>
      </c>
      <c r="I21" s="1" t="e">
        <f>(2+1*((#REF!-2)/12))*B21</f>
        <v>#REF!</v>
      </c>
    </row>
    <row r="22" spans="2:15" x14ac:dyDescent="0.25">
      <c r="B22" s="2" t="e">
        <f>B10</f>
        <v>#REF!</v>
      </c>
      <c r="J22" s="1" t="e">
        <f>(2+2*((#REF!-2)/12))*B22</f>
        <v>#REF!</v>
      </c>
    </row>
    <row r="23" spans="2:15" x14ac:dyDescent="0.25">
      <c r="B23" s="1" t="e">
        <f>B21</f>
        <v>#REF!</v>
      </c>
      <c r="J23" s="1" t="e">
        <f>(2+2*((#REF!-2)/12))*B23</f>
        <v>#REF!</v>
      </c>
    </row>
    <row r="24" spans="2:15" x14ac:dyDescent="0.25">
      <c r="B24" s="2" t="e">
        <f>B10</f>
        <v>#REF!</v>
      </c>
      <c r="K24" s="1" t="e">
        <f>(2+3*((#REF!-2)/12))*B24</f>
        <v>#REF!</v>
      </c>
    </row>
    <row r="25" spans="2:15" x14ac:dyDescent="0.25">
      <c r="B25" s="1" t="e">
        <f>B23</f>
        <v>#REF!</v>
      </c>
      <c r="K25" s="1" t="e">
        <f>(2+3*((#REF!-2)/12))*B25</f>
        <v>#REF!</v>
      </c>
    </row>
    <row r="26" spans="2:15" x14ac:dyDescent="0.25">
      <c r="B26" s="2" t="e">
        <f>B10</f>
        <v>#REF!</v>
      </c>
      <c r="L26" s="1" t="e">
        <f>(2+4*((#REF!-2)/12))*B26</f>
        <v>#REF!</v>
      </c>
    </row>
    <row r="27" spans="2:15" x14ac:dyDescent="0.25">
      <c r="B27" s="1" t="e">
        <f>B25</f>
        <v>#REF!</v>
      </c>
      <c r="L27" s="1" t="e">
        <f>(2+4*((#REF!-2)/12))*B27</f>
        <v>#REF!</v>
      </c>
    </row>
    <row r="28" spans="2:15" x14ac:dyDescent="0.25">
      <c r="B28" s="2" t="e">
        <f>B10</f>
        <v>#REF!</v>
      </c>
      <c r="M28" s="1" t="e">
        <f>(2+5*((#REF!-2)/12))*B28</f>
        <v>#REF!</v>
      </c>
    </row>
    <row r="29" spans="2:15" x14ac:dyDescent="0.25">
      <c r="B29" s="1" t="e">
        <f>B27</f>
        <v>#REF!</v>
      </c>
      <c r="M29" s="1" t="e">
        <f>(2+5*((#REF!-2)/12))*B29</f>
        <v>#REF!</v>
      </c>
    </row>
    <row r="30" spans="2:15" x14ac:dyDescent="0.25">
      <c r="B30" s="2" t="e">
        <f>B10</f>
        <v>#REF!</v>
      </c>
      <c r="N30" s="1" t="e">
        <f>(2+6*((#REF!-2)/12))*B30</f>
        <v>#REF!</v>
      </c>
    </row>
    <row r="31" spans="2:15" x14ac:dyDescent="0.25">
      <c r="B31" s="1" t="e">
        <f>B29</f>
        <v>#REF!</v>
      </c>
      <c r="N31" s="1" t="e">
        <f>(2+6*((#REF!-2)/12))*B31</f>
        <v>#REF!</v>
      </c>
    </row>
    <row r="32" spans="2:15" x14ac:dyDescent="0.25">
      <c r="B32" s="2" t="e">
        <f>B10</f>
        <v>#REF!</v>
      </c>
      <c r="O32" s="1" t="e">
        <f>(2+7*((#REF!-2)/12))*B32</f>
        <v>#REF!</v>
      </c>
    </row>
    <row r="33" spans="2:23" x14ac:dyDescent="0.25">
      <c r="B33" s="1" t="e">
        <f>B31</f>
        <v>#REF!</v>
      </c>
      <c r="O33" s="1" t="e">
        <f>(2+7*((#REF!-2)/12))*B33</f>
        <v>#REF!</v>
      </c>
    </row>
    <row r="34" spans="2:23" x14ac:dyDescent="0.25">
      <c r="B34" s="2" t="e">
        <f>B10</f>
        <v>#REF!</v>
      </c>
      <c r="P34" s="1" t="e">
        <f>(2+8*((#REF!-2)/12))*B34</f>
        <v>#REF!</v>
      </c>
    </row>
    <row r="35" spans="2:23" x14ac:dyDescent="0.25">
      <c r="B35" s="1" t="e">
        <f>B33</f>
        <v>#REF!</v>
      </c>
      <c r="P35" s="1" t="e">
        <f>(2+8*((#REF!-2)/12))*B35</f>
        <v>#REF!</v>
      </c>
    </row>
    <row r="36" spans="2:23" x14ac:dyDescent="0.25">
      <c r="B36" s="2" t="e">
        <f>B10</f>
        <v>#REF!</v>
      </c>
      <c r="Q36" s="1" t="e">
        <f>(2+9*((#REF!-2)/12))*B36</f>
        <v>#REF!</v>
      </c>
    </row>
    <row r="37" spans="2:23" x14ac:dyDescent="0.25">
      <c r="B37" s="1" t="e">
        <f>B35</f>
        <v>#REF!</v>
      </c>
      <c r="Q37" s="1" t="e">
        <f>(2+9*((#REF!-2)/12))*B37</f>
        <v>#REF!</v>
      </c>
    </row>
    <row r="38" spans="2:23" x14ac:dyDescent="0.25">
      <c r="B38" s="2" t="e">
        <f>B10</f>
        <v>#REF!</v>
      </c>
      <c r="R38" s="1" t="e">
        <f>(2+10*((#REF!-2)/12))*B38</f>
        <v>#REF!</v>
      </c>
    </row>
    <row r="39" spans="2:23" x14ac:dyDescent="0.25">
      <c r="B39" s="1" t="e">
        <f>B37</f>
        <v>#REF!</v>
      </c>
      <c r="R39" s="1" t="e">
        <f>(2+10*((#REF!-2)/12))*B39</f>
        <v>#REF!</v>
      </c>
    </row>
    <row r="40" spans="2:23" x14ac:dyDescent="0.25">
      <c r="B40" s="2" t="e">
        <f>B10</f>
        <v>#REF!</v>
      </c>
      <c r="S40" s="1" t="e">
        <f>(2+11*((#REF!-2)/12))*B40</f>
        <v>#REF!</v>
      </c>
    </row>
    <row r="41" spans="2:23" x14ac:dyDescent="0.25">
      <c r="B41" s="1" t="e">
        <f>B39</f>
        <v>#REF!</v>
      </c>
      <c r="S41" s="1" t="e">
        <f>(2+11*((#REF!-2)/12))*B41</f>
        <v>#REF!</v>
      </c>
    </row>
    <row r="42" spans="2:23" x14ac:dyDescent="0.25">
      <c r="B42" s="2" t="e">
        <f>B10*0.95</f>
        <v>#REF!</v>
      </c>
      <c r="T42" s="1" t="e">
        <f>(#REF!/(#REF!+#REF!*#REF!))*Graphs!B42     +     (10000000)/(#REF!+#REF!*#REF!)</f>
        <v>#REF!</v>
      </c>
    </row>
    <row r="43" spans="2:23" x14ac:dyDescent="0.25">
      <c r="B43" s="2" t="e">
        <f>B11</f>
        <v>#REF!</v>
      </c>
      <c r="T43" s="1" t="e">
        <f>(#REF!/(#REF!+#REF!*#REF!))*Graphs!B43+(10000000)/(#REF!+#REF!*#REF!)</f>
        <v>#REF!</v>
      </c>
    </row>
    <row r="44" spans="2:23" x14ac:dyDescent="0.25">
      <c r="B44" s="2" t="e">
        <f>B42</f>
        <v>#REF!</v>
      </c>
      <c r="U44" s="1" t="e">
        <f>(#REF!/(#REF!+#REF!*#REF!))*Graphs!B44+(20000000)/(#REF!+#REF!*#REF!)</f>
        <v>#REF!</v>
      </c>
    </row>
    <row r="45" spans="2:23" x14ac:dyDescent="0.25">
      <c r="B45" s="2" t="e">
        <f>B11</f>
        <v>#REF!</v>
      </c>
      <c r="U45" s="1" t="e">
        <f>(#REF!/(#REF!+#REF!*#REF!))*Graphs!B45+(20000000)/(#REF!+#REF!*#REF!)</f>
        <v>#REF!</v>
      </c>
    </row>
    <row r="46" spans="2:23" x14ac:dyDescent="0.25">
      <c r="B46" s="2" t="e">
        <f>B42</f>
        <v>#REF!</v>
      </c>
      <c r="V46" s="1" t="e">
        <f>(#REF!/(#REF!+#REF!*#REF!))*Graphs!B46+(30000000)/(#REF!+#REF!*#REF!)</f>
        <v>#REF!</v>
      </c>
    </row>
    <row r="47" spans="2:23" x14ac:dyDescent="0.25">
      <c r="B47" s="2" t="e">
        <f>B11</f>
        <v>#REF!</v>
      </c>
      <c r="V47" s="1" t="e">
        <f>(#REF!/(#REF!+#REF!*#REF!))*Graphs!B47+(30000000)/(#REF!+#REF!*#REF!)</f>
        <v>#REF!</v>
      </c>
    </row>
    <row r="48" spans="2:23" x14ac:dyDescent="0.25">
      <c r="B48" s="2" t="e">
        <f>B42</f>
        <v>#REF!</v>
      </c>
      <c r="W48" s="1" t="e">
        <f>(#REF!/(#REF!+#REF!*#REF!))*Graphs!B48+(40000000)/(#REF!+#REF!*#REF!)</f>
        <v>#REF!</v>
      </c>
    </row>
    <row r="49" spans="2:31" x14ac:dyDescent="0.25">
      <c r="B49" s="2" t="e">
        <f>B11</f>
        <v>#REF!</v>
      </c>
      <c r="W49" s="1" t="e">
        <f>(#REF!/(#REF!+#REF!*#REF!))*Graphs!B49+(40000000)/(#REF!+#REF!*#REF!)</f>
        <v>#REF!</v>
      </c>
    </row>
    <row r="50" spans="2:31" x14ac:dyDescent="0.25">
      <c r="B50" s="2" t="e">
        <f>B42</f>
        <v>#REF!</v>
      </c>
      <c r="X50" s="1" t="e">
        <f>(#REF!/(#REF!+#REF!*#REF!))*Graphs!B50+(50000000)/(#REF!+#REF!*#REF!)</f>
        <v>#REF!</v>
      </c>
    </row>
    <row r="51" spans="2:31" x14ac:dyDescent="0.25">
      <c r="B51" s="2" t="e">
        <f>B11</f>
        <v>#REF!</v>
      </c>
      <c r="X51" s="1" t="e">
        <f>(#REF!/(#REF!+#REF!*#REF!))*Graphs!B51+(50000000)/(#REF!+#REF!*#REF!)</f>
        <v>#REF!</v>
      </c>
    </row>
    <row r="52" spans="2:31" x14ac:dyDescent="0.25">
      <c r="B52" s="2" t="e">
        <f>B42</f>
        <v>#REF!</v>
      </c>
      <c r="Y52" s="1" t="e">
        <f>(#REF!/(#REF!+#REF!*#REF!))*Graphs!B52+(60000000)/(#REF!+#REF!*#REF!)</f>
        <v>#REF!</v>
      </c>
    </row>
    <row r="53" spans="2:31" x14ac:dyDescent="0.25">
      <c r="B53" s="2" t="e">
        <f>B11</f>
        <v>#REF!</v>
      </c>
      <c r="Y53" s="1" t="e">
        <f>(#REF!/(#REF!+#REF!*#REF!))*Graphs!B53+(60000000)/(#REF!+#REF!*#REF!)</f>
        <v>#REF!</v>
      </c>
    </row>
    <row r="54" spans="2:31" x14ac:dyDescent="0.25">
      <c r="B54" s="2" t="e">
        <f>B42</f>
        <v>#REF!</v>
      </c>
      <c r="Z54" s="1" t="e">
        <f>(#REF!/(#REF!+#REF!*#REF!))*Graphs!B54+(70000000)/(#REF!+#REF!*#REF!)</f>
        <v>#REF!</v>
      </c>
    </row>
    <row r="55" spans="2:31" x14ac:dyDescent="0.25">
      <c r="B55" s="2" t="e">
        <f>B11</f>
        <v>#REF!</v>
      </c>
      <c r="Z55" s="1" t="e">
        <f>(#REF!/(#REF!+#REF!*#REF!))*Graphs!B55+(70000000)/(#REF!+#REF!*#REF!)</f>
        <v>#REF!</v>
      </c>
    </row>
    <row r="56" spans="2:31" x14ac:dyDescent="0.25">
      <c r="B56" s="2" t="e">
        <f>B42</f>
        <v>#REF!</v>
      </c>
      <c r="AA56" s="1" t="e">
        <f>(#REF!/(#REF!+#REF!*#REF!))*Graphs!B56+(80000000)/(#REF!+#REF!*#REF!)</f>
        <v>#REF!</v>
      </c>
    </row>
    <row r="57" spans="2:31" x14ac:dyDescent="0.25">
      <c r="B57" s="2" t="e">
        <f>B11</f>
        <v>#REF!</v>
      </c>
      <c r="D57" s="4"/>
      <c r="E57" s="3"/>
      <c r="AA57" s="1" t="e">
        <f>(#REF!/(#REF!+#REF!*#REF!))*Graphs!B57+(80000000)/(#REF!+#REF!*#REF!)</f>
        <v>#REF!</v>
      </c>
    </row>
    <row r="58" spans="2:31" x14ac:dyDescent="0.25">
      <c r="B58" s="2" t="e">
        <f>B42</f>
        <v>#REF!</v>
      </c>
      <c r="D58" s="4"/>
      <c r="E58" s="3"/>
      <c r="AB58" s="1" t="e">
        <f>(#REF!/(#REF!+#REF!*#REF!))*Graphs!B58+(90000000)/(#REF!+#REF!*#REF!)</f>
        <v>#REF!</v>
      </c>
    </row>
    <row r="59" spans="2:31" x14ac:dyDescent="0.25">
      <c r="B59" s="2" t="e">
        <f>B11</f>
        <v>#REF!</v>
      </c>
      <c r="D59" s="4"/>
      <c r="E59" s="3"/>
      <c r="AB59" s="1" t="e">
        <f>(#REF!/(#REF!+#REF!*#REF!))*Graphs!B59+(90000000)/(#REF!+#REF!*#REF!)</f>
        <v>#REF!</v>
      </c>
    </row>
    <row r="60" spans="2:31" x14ac:dyDescent="0.25">
      <c r="B60" s="2" t="e">
        <f>B42</f>
        <v>#REF!</v>
      </c>
      <c r="D60" s="4"/>
      <c r="E60" s="3"/>
      <c r="AC60" s="1" t="e">
        <f>(#REF!/(#REF!+#REF!*#REF!))*Graphs!B60+(100000000)/(#REF!+#REF!*#REF!)</f>
        <v>#REF!</v>
      </c>
    </row>
    <row r="61" spans="2:31" x14ac:dyDescent="0.25">
      <c r="B61" s="2" t="e">
        <f>B11</f>
        <v>#REF!</v>
      </c>
      <c r="D61" s="4"/>
      <c r="E61" s="3"/>
      <c r="AC61" s="1" t="e">
        <f>(#REF!/(#REF!+#REF!*#REF!))*Graphs!B61+(100000000)/(#REF!+#REF!*#REF!)</f>
        <v>#REF!</v>
      </c>
    </row>
    <row r="62" spans="2:31" x14ac:dyDescent="0.25">
      <c r="B62" s="2" t="e">
        <f>B42</f>
        <v>#REF!</v>
      </c>
      <c r="AD62" s="1" t="e">
        <f>(#REF!/(#REF!+#REF!*#REF!))*Graphs!B62+(5000000)/(#REF!+#REF!*#REF!)</f>
        <v>#REF!</v>
      </c>
    </row>
    <row r="63" spans="2:31" x14ac:dyDescent="0.25">
      <c r="B63" s="2" t="e">
        <f>B11</f>
        <v>#REF!</v>
      </c>
      <c r="AD63" s="1" t="e">
        <f>(#REF!/(#REF!+#REF!*#REF!))*Graphs!B63+(5000000)/(#REF!+#REF!*#REF!)</f>
        <v>#REF!</v>
      </c>
    </row>
    <row r="64" spans="2:31" x14ac:dyDescent="0.25">
      <c r="B64" s="2" t="e">
        <f>B42</f>
        <v>#REF!</v>
      </c>
      <c r="AE64" s="1" t="e">
        <f>(#REF!/(#REF!+#REF!*#REF!))*Graphs!B64+(110000000)/(#REF!+#REF!*#REF!)</f>
        <v>#REF!</v>
      </c>
    </row>
    <row r="65" spans="2:33" x14ac:dyDescent="0.25">
      <c r="B65" s="2" t="e">
        <f>B11</f>
        <v>#REF!</v>
      </c>
      <c r="AE65" s="1" t="e">
        <f>(#REF!/(#REF!+#REF!*#REF!))*Graphs!B65+(110000000)/(#REF!+#REF!*#REF!)</f>
        <v>#REF!</v>
      </c>
    </row>
    <row r="66" spans="2:33" x14ac:dyDescent="0.25">
      <c r="B66" s="1" t="e">
        <f>#REF!</f>
        <v>#REF!</v>
      </c>
      <c r="AF66" s="1" t="e">
        <f>#REF!</f>
        <v>#REF!</v>
      </c>
    </row>
    <row r="67" spans="2:33" x14ac:dyDescent="0.25">
      <c r="B67" s="2" t="e">
        <f>B42</f>
        <v>#REF!</v>
      </c>
      <c r="AG67" s="1" t="e">
        <f>(#REF!/(#REF!+#REF!*#REF!))*Graphs!B67+(1000000)/(#REF!+#REF!*#REF!)</f>
        <v>#REF!</v>
      </c>
    </row>
    <row r="68" spans="2:33" x14ac:dyDescent="0.25">
      <c r="B68" s="2" t="e">
        <f>B11</f>
        <v>#REF!</v>
      </c>
      <c r="AG68" s="1" t="e">
        <f>(#REF!/(#REF!+#REF!*#REF!))*Graphs!B68+(1000000)/(#REF!+#REF!*#REF!)</f>
        <v>#REF!</v>
      </c>
    </row>
    <row r="69" spans="2:33" x14ac:dyDescent="0.25">
      <c r="B69" s="2" t="e">
        <f>B42</f>
        <v>#REF!</v>
      </c>
    </row>
    <row r="70" spans="2:33" x14ac:dyDescent="0.25">
      <c r="B70" s="2" t="e">
        <f>B11</f>
        <v>#REF!</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EDF39B003F9B204FB5EDB5B9382651EB" ma:contentTypeVersion="14" ma:contentTypeDescription="Create a new document." ma:contentTypeScope="" ma:versionID="5872434f2837c1d7a7aa29eda3a58842">
  <xsd:schema xmlns:xsd="http://www.w3.org/2001/XMLSchema" xmlns:xs="http://www.w3.org/2001/XMLSchema" xmlns:p="http://schemas.microsoft.com/office/2006/metadata/properties" xmlns:ns3="c2197c07-de05-42e8-ab6e-e0f2620671a7" targetNamespace="http://schemas.microsoft.com/office/2006/metadata/properties" ma:root="true" ma:fieldsID="27755521f5481e7e61adb27a20c9bf1d" ns3:_="">
    <xsd:import namespace="c2197c07-de05-42e8-ab6e-e0f2620671a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LengthInSeconds"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Location" minOccurs="0"/>
                <xsd:element ref="ns3:MediaServiceOCR" minOccurs="0"/>
                <xsd:element ref="ns3:MediaServiceSearchProperties" minOccurs="0"/>
                <xsd:element ref="ns3:MediaServiceObjectDetectorVersions" minOccurs="0"/>
                <xsd:element ref="ns3: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197c07-de05-42e8-ab6e-e0f2620671a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66901D6-F172-4AF1-BEEF-22C96B0BDFC0}">
  <ds:schemaRefs>
    <ds:schemaRef ds:uri="http://schemas.microsoft.com/DataMashup"/>
  </ds:schemaRefs>
</ds:datastoreItem>
</file>

<file path=customXml/itemProps2.xml><?xml version="1.0" encoding="utf-8"?>
<ds:datastoreItem xmlns:ds="http://schemas.openxmlformats.org/officeDocument/2006/customXml" ds:itemID="{EA439386-4EE6-4B72-A5EA-3191572C4F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197c07-de05-42e8-ab6e-e0f2620671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16AD8D-627C-4D35-B175-11CB760321A0}">
  <ds:schemaRefs>
    <ds:schemaRef ds:uri="http://schemas.microsoft.com/sharepoint/v3/contenttype/forms"/>
  </ds:schemaRefs>
</ds:datastoreItem>
</file>

<file path=customXml/itemProps4.xml><?xml version="1.0" encoding="utf-8"?>
<ds:datastoreItem xmlns:ds="http://schemas.openxmlformats.org/officeDocument/2006/customXml" ds:itemID="{E4B0D561-20E1-4F3B-BCBD-4DAF93F94495}">
  <ds:schemaRefs>
    <ds:schemaRef ds:uri="http://schemas.openxmlformats.org/package/2006/metadata/core-properties"/>
    <ds:schemaRef ds:uri="http://purl.org/dc/dcmitype/"/>
    <ds:schemaRef ds:uri="http://purl.org/dc/terms/"/>
    <ds:schemaRef ds:uri="http://schemas.microsoft.com/office/2006/documentManagement/types"/>
    <ds:schemaRef ds:uri="http://purl.org/dc/elements/1.1/"/>
    <ds:schemaRef ds:uri="c2197c07-de05-42e8-ab6e-e0f2620671a7"/>
    <ds:schemaRef ds:uri="http://schemas.microsoft.com/office/2006/metadata/propertie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Sandbox</vt:lpstr>
      <vt:lpstr>Menu Version</vt:lpstr>
      <vt:lpstr>Stuff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Lorenzo Smith</dc:creator>
  <cp:lastModifiedBy>Steiner, Stu</cp:lastModifiedBy>
  <cp:lastPrinted>2026-02-10T20:49:46Z</cp:lastPrinted>
  <dcterms:created xsi:type="dcterms:W3CDTF">2022-12-26T14:02:58Z</dcterms:created>
  <dcterms:modified xsi:type="dcterms:W3CDTF">2026-02-17T17:00:19Z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0x010100EDF39B003F9B204FB5EDB5B9382651EB</vt:lpwstr>
  </property>
</Properties>
</file>